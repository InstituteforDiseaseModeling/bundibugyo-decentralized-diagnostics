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ational Reconciliation" sheetId="1" state="visible" r:id="rId3"/>
    <sheet name="By Province" sheetId="2" state="visible" r:id="rId4"/>
    <sheet name="Notes &amp; Scop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<sst xmlns="http://schemas.openxmlformats.org/spreadsheetml/2006/main" count="220" uniqueCount="57">
  <si>
    <t xml:space="preserve">17e épidémie MVE / RDC — Stock-flow validation of the isolation census (national / Ensemble)</t>
  </si>
  <si>
    <t xml:space="preserve">Identity 1 (flow): Patients au lit (J-1) + Admissions − Total sorties = Patients en isolement (Fin J).  Identity 2 (composition): confirmés + suspects = Patients en isolement.</t>
  </si>
  <si>
    <t xml:space="preserve">SitRep N°</t>
  </si>
  <si>
    <t xml:space="preserve">Reporting date</t>
  </si>
  <si>
    <t xml:space="preserve">Au lit (J-1)</t>
  </si>
  <si>
    <t xml:space="preserve">Admissions (24h)</t>
  </si>
  <si>
    <t xml:space="preserve">Total sorties</t>
  </si>
  <si>
    <t xml:space="preserve">Expected close (=B+C−D)</t>
  </si>
  <si>
    <t xml:space="preserve">Reported isolement</t>
  </si>
  <si>
    <t xml:space="preserve">Flow residual</t>
  </si>
  <si>
    <t xml:space="preserve">Confirmés (NC+AC)</t>
  </si>
  <si>
    <t xml:space="preserve">Suspects</t>
  </si>
  <si>
    <t xml:space="preserve">Sum (conf+susp)</t>
  </si>
  <si>
    <t xml:space="preserve">Comp. residual</t>
  </si>
  <si>
    <t xml:space="preserve">Status</t>
  </si>
  <si>
    <t xml:space="preserve">2026-06-01</t>
  </si>
  <si>
    <t xml:space="preserve">2026-06-02</t>
  </si>
  <si>
    <t xml:space="preserve">2026-06-03</t>
  </si>
  <si>
    <t xml:space="preserve">2026-06-04</t>
  </si>
  <si>
    <t xml:space="preserve">2026-06-05</t>
  </si>
  <si>
    <t xml:space="preserve">2026-06-06</t>
  </si>
  <si>
    <t xml:space="preserve">2026-06-07</t>
  </si>
  <si>
    <t xml:space="preserve">2026-06-08</t>
  </si>
  <si>
    <t xml:space="preserve">2026-06-09</t>
  </si>
  <si>
    <t xml:space="preserve">2026-06-10</t>
  </si>
  <si>
    <t xml:space="preserve">2026-06-11</t>
  </si>
  <si>
    <t xml:space="preserve">2026-06-13</t>
  </si>
  <si>
    <t xml:space="preserve">2026-06-14</t>
  </si>
  <si>
    <t xml:space="preserve">2026-06-15</t>
  </si>
  <si>
    <t xml:space="preserve">2026-06-16</t>
  </si>
  <si>
    <t xml:space="preserve">2026-06-17</t>
  </si>
  <si>
    <t xml:space="preserve">2026-06-19</t>
  </si>
  <si>
    <t xml:space="preserve">2026-06-20</t>
  </si>
  <si>
    <t xml:space="preserve">2026-06-21</t>
  </si>
  <si>
    <t xml:space="preserve">2026-06-22</t>
  </si>
  <si>
    <t xml:space="preserve">All rows resolve to OK except SitRep N°18 (1 Jun) — the first national-format table — where NK +3, SK +3 give a national flow residual of +6 and a composition residual of +4.</t>
  </si>
  <si>
    <t xml:space="preserve">Per-province detail — flow &amp; composition residuals</t>
  </si>
  <si>
    <t xml:space="preserve">Date</t>
  </si>
  <si>
    <t xml:space="preserve">Province</t>
  </si>
  <si>
    <t xml:space="preserve">Admissions</t>
  </si>
  <si>
    <t xml:space="preserve">Expected close</t>
  </si>
  <si>
    <t xml:space="preserve">Confirmés</t>
  </si>
  <si>
    <t xml:space="preserve">Ituri</t>
  </si>
  <si>
    <t xml:space="preserve">Nord-Kivu</t>
  </si>
  <si>
    <t xml:space="preserve">Sud-Kivu</t>
  </si>
  <si>
    <t xml:space="preserve">Ensemble</t>
  </si>
  <si>
    <t xml:space="preserve">Isolation census = inpatient (hospitalization) stock</t>
  </si>
  <si>
    <t xml:space="preserve">"Patients en isolement (Fin J)" is the closing bed census in the Ebola facilities (CTE / CT / CI), i.e. the inpatient stock. "Patients au lit (J-1)" is the same quantity measured at the previous day-end (opening stock). It is NOT general hospitalization: it counts only suspects + confirmed cases held in isolation, and a suspect who tests negative leaves as a "non-cas".</t>
  </si>
  <si>
    <t xml:space="preserve">Two reporting eras / scope</t>
  </si>
  <si>
    <t xml:space="preserve">SitRep N°10–N°17 (≈24–31 May): facility-level movement table covering ITURI facilities only (HGR Bunia, Rwampara, CME, Mongbwalu, Nyankunde, Bambu, Aru). Bunia is one site within Ituri, not the national figure. These were not parsed here for stock-flow because the layout is facility-by-column and carries small per-facility off-by-1/2 discrepancies; do not chain them directly to the national series.</t>
  </si>
  <si>
    <t xml:space="preserve">N°11 and N°12 (25–26 May) are in this facility era. Their case/death summary covers all 3 provinces, but the bed-movement table is Ituri only.</t>
  </si>
  <si>
    <t xml:space="preserve">SitRep N°18 (1 Jun) onward: national format with Ituri / Nord-Kivu / Sud-Kivu / Ensemble columns.</t>
  </si>
  <si>
    <t xml:space="preserve">Validation result</t>
  </si>
  <si>
    <t xml:space="preserve">Every national-format report from N°19 (2 Jun) through N°39 (22 Jun) reconciles exactly: both the flow identity and the composition identity hold at every province and at the national total, with zero residuals.</t>
  </si>
  <si>
    <t xml:space="preserve">Single exception: N°18 (1 Jun), the first national-format table. Flow residual +6 nationally (Nord-Kivu +3, Sud-Kivu +3; Ituri balances). Composition residual +4 nationally. The report's own narrative also says "158/171" in one place vs 173 in the table — an internal inconsistency in the source, not a parsing artifact.</t>
  </si>
  <si>
    <t xml:space="preserve">Parsing note</t>
  </si>
  <si>
    <t xml:space="preserve">Source files are ZIP packages (per-page JPEG + extracted text) saved with a .pdf extension. Values were read from the embedded text layer of the "Mouvement des patients" table on each report.</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</si>
</sst>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2"/>
      <color rgb="FF1F3864"/>
      <name val="Arial"/>
      <family val="0"/>
      <charset val="1"/>
    </font>
    <font>
      <i val="true"/>
      <sz val="9"/>
      <color rgb="FF595959"/>
      <name val="Arial"/>
      <family val="0"/>
      <charset val="1"/>
    </font>
    <font>
      <b val="true"/>
      <sz val="10"/>
      <color rgb="FFFFFFFF"/>
      <name val="Arial"/>
      <family val="0"/>
      <charset val="1"/>
    </font>
    <font>
      <sz val="10"/>
      <color rgb="FF0000FF"/>
      <name val="Arial"/>
      <family val="0"/>
      <charset val="1"/>
    </font>
    <font>
      <sz val="10"/>
      <color rgb="FF000000"/>
      <name val="Arial"/>
      <family val="0"/>
      <charset val="1"/>
    </font>
    <font>
      <i val="true"/>
      <sz val="9"/>
      <color rgb="FFC00000"/>
      <name val="Arial"/>
      <family val="0"/>
      <charset val="1"/>
    </font>
    <font>
      <b val="true"/>
      <sz val="11"/>
      <color rgb="FF1F3864"/>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FC7CE"/>
        </patternFill>
      </fill>
    </dxf>
    <dxf>
      <fill>
        <patternFill>
          <bgColor rgb="FFC6EF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3"/>
    <col collapsed="false" customWidth="true" hidden="false" outlineLevel="0" max="3" min="3" style="1" width="11"/>
    <col collapsed="false" customWidth="true" hidden="false" outlineLevel="0" max="4" min="4" style="1" width="13"/>
    <col collapsed="false" customWidth="true" hidden="false" outlineLevel="0" max="5" min="5" style="1" width="11"/>
    <col collapsed="false" customWidth="true" hidden="false" outlineLevel="0" max="6" min="6" style="1" width="16"/>
    <col collapsed="false" customWidth="true" hidden="false" outlineLevel="0" max="7" min="7" style="1" width="14"/>
    <col collapsed="false" customWidth="true" hidden="false" outlineLevel="0" max="8" min="8" style="1" width="11"/>
    <col collapsed="false" customWidth="true" hidden="false" outlineLevel="0" max="9" min="9" style="1" width="15"/>
    <col collapsed="false" customWidth="true" hidden="false" outlineLevel="0" max="10" min="10" style="1" width="9"/>
    <col collapsed="false" customWidth="true" hidden="false" outlineLevel="0" max="11" min="11" style="1" width="13"/>
    <col collapsed="false" customWidth="true" hidden="false" outlineLevel="0" max="12" min="12" style="1" width="12"/>
    <col collapsed="false" customWidth="true" hidden="false" outlineLevel="0" max="13" min="13" style="1" width="9"/>
  </cols>
  <sheetData>
    <row r="1" customFormat="false" ht="15" hidden="false" customHeight="true" outlineLevel="0" collapsed="false">
      <c r="A1" s="2" t="s">
        <v>0</v>
      </c>
    </row>
    <row r="2" customFormat="false" ht="15" hidden="false" customHeight="true" outlineLevel="0" collapsed="false">
      <c r="A2" s="3" t="s">
        <v>1</v>
      </c>
    </row>
    <row r="4" customFormat="false" ht="23.25" hidden="false" customHeight="true" outlineLevel="0" collapsed="false">
      <c r="A4" s="4" t="s">
        <v>2</v>
      </c>
      <c r="B4" s="4" t="s">
        <v>3</v>
      </c>
      <c r="C4" s="4" t="s">
        <v>4</v>
      </c>
      <c r="D4" s="4" t="s">
        <v>5</v>
      </c>
      <c r="E4" s="4" t="s">
        <v>6</v>
      </c>
      <c r="F4" s="4" t="s">
        <v>7</v>
      </c>
      <c r="G4" s="4" t="s">
        <v>8</v>
      </c>
      <c r="H4" s="4" t="s">
        <v>9</v>
      </c>
      <c r="I4" s="4" t="s">
        <v>10</v>
      </c>
      <c r="J4" s="4" t="s">
        <v>11</v>
      </c>
      <c r="K4" s="4" t="s">
        <v>12</v>
      </c>
      <c r="L4" s="4" t="s">
        <v>13</v>
      </c>
      <c r="M4" s="4" t="s">
        <v>14</v>
      </c>
    </row>
    <row r="5" customFormat="false" ht="15" hidden="false" customHeight="true" outlineLevel="0" collapsed="false">
      <c r="A5" s="5" t="n">
        <v>18</v>
      </c>
      <c r="B5" s="5" t="s">
        <v>15</v>
      </c>
      <c r="C5" s="6" t="n">
        <v>160</v>
      </c>
      <c r="D5" s="6" t="n">
        <v>22</v>
      </c>
      <c r="E5" s="6" t="n">
        <v>15</v>
      </c>
      <c r="F5" s="7" t="n">
        <f aca="false">C5+D5-E5</f>
        <v>167</v>
      </c>
      <c r="G5" s="6" t="n">
        <v>173</v>
      </c>
      <c r="H5" s="7" t="n">
        <f aca="false">G5-F5</f>
        <v>6</v>
      </c>
      <c r="I5" s="6" t="n">
        <v>41</v>
      </c>
      <c r="J5" s="6" t="n">
        <v>128</v>
      </c>
      <c r="K5" s="7" t="n">
        <f aca="false">I5+J5</f>
        <v>169</v>
      </c>
      <c r="L5" s="7" t="n">
        <f aca="false">G5-K5</f>
        <v>4</v>
      </c>
      <c r="M5" s="5" t="str">
        <f aca="false">IF(AND(H5=0,L5=0),"OK","CHECK")</f>
        <v>CHECK</v>
      </c>
    </row>
    <row r="6" customFormat="false" ht="15" hidden="false" customHeight="true" outlineLevel="0" collapsed="false">
      <c r="A6" s="5" t="n">
        <v>19</v>
      </c>
      <c r="B6" s="5" t="s">
        <v>16</v>
      </c>
      <c r="C6" s="6" t="n">
        <v>204</v>
      </c>
      <c r="D6" s="6" t="n">
        <v>30</v>
      </c>
      <c r="E6" s="6" t="n">
        <v>28</v>
      </c>
      <c r="F6" s="7" t="n">
        <f aca="false">C6+D6-E6</f>
        <v>206</v>
      </c>
      <c r="G6" s="6" t="n">
        <v>206</v>
      </c>
      <c r="H6" s="7" t="n">
        <f aca="false">G6-F6</f>
        <v>0</v>
      </c>
      <c r="I6" s="6" t="n">
        <v>47</v>
      </c>
      <c r="J6" s="6" t="n">
        <v>159</v>
      </c>
      <c r="K6" s="7" t="n">
        <f aca="false">I6+J6</f>
        <v>206</v>
      </c>
      <c r="L6" s="7" t="n">
        <f aca="false">G6-K6</f>
        <v>0</v>
      </c>
      <c r="M6" s="5" t="str">
        <f aca="false">IF(AND(H6=0,L6=0),"OK","CHECK")</f>
        <v>OK</v>
      </c>
    </row>
    <row r="7" customFormat="false" ht="15" hidden="false" customHeight="true" outlineLevel="0" collapsed="false">
      <c r="A7" s="5" t="n">
        <v>20</v>
      </c>
      <c r="B7" s="5" t="s">
        <v>17</v>
      </c>
      <c r="C7" s="6" t="n">
        <v>222</v>
      </c>
      <c r="D7" s="6" t="n">
        <v>48</v>
      </c>
      <c r="E7" s="6" t="n">
        <v>37</v>
      </c>
      <c r="F7" s="7" t="n">
        <f aca="false">C7+D7-E7</f>
        <v>233</v>
      </c>
      <c r="G7" s="6" t="n">
        <v>233</v>
      </c>
      <c r="H7" s="7" t="n">
        <f aca="false">G7-F7</f>
        <v>0</v>
      </c>
      <c r="I7" s="6" t="n">
        <v>62</v>
      </c>
      <c r="J7" s="6" t="n">
        <v>171</v>
      </c>
      <c r="K7" s="7" t="n">
        <f aca="false">I7+J7</f>
        <v>233</v>
      </c>
      <c r="L7" s="7" t="n">
        <f aca="false">G7-K7</f>
        <v>0</v>
      </c>
      <c r="M7" s="5" t="str">
        <f aca="false">IF(AND(H7=0,L7=0),"OK","CHECK")</f>
        <v>OK</v>
      </c>
    </row>
    <row r="8" customFormat="false" ht="15" hidden="false" customHeight="true" outlineLevel="0" collapsed="false">
      <c r="A8" s="5" t="n">
        <v>21</v>
      </c>
      <c r="B8" s="5" t="s">
        <v>18</v>
      </c>
      <c r="C8" s="6" t="n">
        <v>233</v>
      </c>
      <c r="D8" s="6" t="n">
        <v>62</v>
      </c>
      <c r="E8" s="6" t="n">
        <v>37</v>
      </c>
      <c r="F8" s="7" t="n">
        <f aca="false">C8+D8-E8</f>
        <v>258</v>
      </c>
      <c r="G8" s="6" t="n">
        <v>258</v>
      </c>
      <c r="H8" s="7" t="n">
        <f aca="false">G8-F8</f>
        <v>0</v>
      </c>
      <c r="I8" s="6" t="n">
        <v>72</v>
      </c>
      <c r="J8" s="6" t="n">
        <v>186</v>
      </c>
      <c r="K8" s="7" t="n">
        <f aca="false">I8+J8</f>
        <v>258</v>
      </c>
      <c r="L8" s="7" t="n">
        <f aca="false">G8-K8</f>
        <v>0</v>
      </c>
      <c r="M8" s="5" t="str">
        <f aca="false">IF(AND(H8=0,L8=0),"OK","CHECK")</f>
        <v>OK</v>
      </c>
    </row>
    <row r="9" customFormat="false" ht="15" hidden="false" customHeight="true" outlineLevel="0" collapsed="false">
      <c r="A9" s="5" t="n">
        <v>22</v>
      </c>
      <c r="B9" s="5" t="s">
        <v>19</v>
      </c>
      <c r="C9" s="6" t="n">
        <v>251</v>
      </c>
      <c r="D9" s="6" t="n">
        <v>38</v>
      </c>
      <c r="E9" s="6" t="n">
        <v>22</v>
      </c>
      <c r="F9" s="7" t="n">
        <f aca="false">C9+D9-E9</f>
        <v>267</v>
      </c>
      <c r="G9" s="6" t="n">
        <v>267</v>
      </c>
      <c r="H9" s="7" t="n">
        <f aca="false">G9-F9</f>
        <v>0</v>
      </c>
      <c r="I9" s="6" t="n">
        <v>89</v>
      </c>
      <c r="J9" s="6" t="n">
        <v>178</v>
      </c>
      <c r="K9" s="7" t="n">
        <f aca="false">I9+J9</f>
        <v>267</v>
      </c>
      <c r="L9" s="7" t="n">
        <f aca="false">G9-K9</f>
        <v>0</v>
      </c>
      <c r="M9" s="5" t="str">
        <f aca="false">IF(AND(H9=0,L9=0),"OK","CHECK")</f>
        <v>OK</v>
      </c>
    </row>
    <row r="10" customFormat="false" ht="15" hidden="false" customHeight="true" outlineLevel="0" collapsed="false">
      <c r="A10" s="5" t="n">
        <v>23</v>
      </c>
      <c r="B10" s="5" t="s">
        <v>20</v>
      </c>
      <c r="C10" s="6" t="n">
        <v>280</v>
      </c>
      <c r="D10" s="6" t="n">
        <v>30</v>
      </c>
      <c r="E10" s="6" t="n">
        <v>27</v>
      </c>
      <c r="F10" s="7" t="n">
        <f aca="false">C10+D10-E10</f>
        <v>283</v>
      </c>
      <c r="G10" s="6" t="n">
        <v>283</v>
      </c>
      <c r="H10" s="7" t="n">
        <f aca="false">G10-F10</f>
        <v>0</v>
      </c>
      <c r="I10" s="6" t="n">
        <v>105</v>
      </c>
      <c r="J10" s="6" t="n">
        <v>178</v>
      </c>
      <c r="K10" s="7" t="n">
        <f aca="false">I10+J10</f>
        <v>283</v>
      </c>
      <c r="L10" s="7" t="n">
        <f aca="false">G10-K10</f>
        <v>0</v>
      </c>
      <c r="M10" s="5" t="str">
        <f aca="false">IF(AND(H10=0,L10=0),"OK","CHECK")</f>
        <v>OK</v>
      </c>
    </row>
    <row r="11" customFormat="false" ht="15" hidden="false" customHeight="true" outlineLevel="0" collapsed="false">
      <c r="A11" s="5" t="n">
        <v>24</v>
      </c>
      <c r="B11" s="5" t="s">
        <v>21</v>
      </c>
      <c r="C11" s="6" t="n">
        <v>283</v>
      </c>
      <c r="D11" s="6" t="n">
        <v>61</v>
      </c>
      <c r="E11" s="6" t="n">
        <v>35</v>
      </c>
      <c r="F11" s="7" t="n">
        <f aca="false">C11+D11-E11</f>
        <v>309</v>
      </c>
      <c r="G11" s="6" t="n">
        <v>309</v>
      </c>
      <c r="H11" s="7" t="n">
        <f aca="false">G11-F11</f>
        <v>0</v>
      </c>
      <c r="I11" s="6" t="n">
        <v>116</v>
      </c>
      <c r="J11" s="6" t="n">
        <v>193</v>
      </c>
      <c r="K11" s="7" t="n">
        <f aca="false">I11+J11</f>
        <v>309</v>
      </c>
      <c r="L11" s="7" t="n">
        <f aca="false">G11-K11</f>
        <v>0</v>
      </c>
      <c r="M11" s="5" t="str">
        <f aca="false">IF(AND(H11=0,L11=0),"OK","CHECK")</f>
        <v>OK</v>
      </c>
    </row>
    <row r="12" customFormat="false" ht="15" hidden="false" customHeight="true" outlineLevel="0" collapsed="false">
      <c r="A12" s="5" t="n">
        <v>25</v>
      </c>
      <c r="B12" s="5" t="s">
        <v>22</v>
      </c>
      <c r="C12" s="6" t="n">
        <v>310</v>
      </c>
      <c r="D12" s="6" t="n">
        <v>34</v>
      </c>
      <c r="E12" s="6" t="n">
        <v>47</v>
      </c>
      <c r="F12" s="7" t="n">
        <f aca="false">C12+D12-E12</f>
        <v>297</v>
      </c>
      <c r="G12" s="6" t="n">
        <v>297</v>
      </c>
      <c r="H12" s="7" t="n">
        <f aca="false">G12-F12</f>
        <v>0</v>
      </c>
      <c r="I12" s="6" t="n">
        <v>113</v>
      </c>
      <c r="J12" s="6" t="n">
        <v>184</v>
      </c>
      <c r="K12" s="7" t="n">
        <f aca="false">I12+J12</f>
        <v>297</v>
      </c>
      <c r="L12" s="7" t="n">
        <f aca="false">G12-K12</f>
        <v>0</v>
      </c>
      <c r="M12" s="5" t="str">
        <f aca="false">IF(AND(H12=0,L12=0),"OK","CHECK")</f>
        <v>OK</v>
      </c>
    </row>
    <row r="13" customFormat="false" ht="15" hidden="false" customHeight="true" outlineLevel="0" collapsed="false">
      <c r="A13" s="5" t="n">
        <v>26</v>
      </c>
      <c r="B13" s="5" t="s">
        <v>23</v>
      </c>
      <c r="C13" s="6" t="n">
        <v>268</v>
      </c>
      <c r="D13" s="6" t="n">
        <v>31</v>
      </c>
      <c r="E13" s="6" t="n">
        <v>39</v>
      </c>
      <c r="F13" s="7" t="n">
        <f aca="false">C13+D13-E13</f>
        <v>260</v>
      </c>
      <c r="G13" s="6" t="n">
        <v>260</v>
      </c>
      <c r="H13" s="7" t="n">
        <f aca="false">G13-F13</f>
        <v>0</v>
      </c>
      <c r="I13" s="6" t="n">
        <v>117</v>
      </c>
      <c r="J13" s="6" t="n">
        <v>143</v>
      </c>
      <c r="K13" s="7" t="n">
        <f aca="false">I13+J13</f>
        <v>260</v>
      </c>
      <c r="L13" s="7" t="n">
        <f aca="false">G13-K13</f>
        <v>0</v>
      </c>
      <c r="M13" s="5" t="str">
        <f aca="false">IF(AND(H13=0,L13=0),"OK","CHECK")</f>
        <v>OK</v>
      </c>
    </row>
    <row r="14" customFormat="false" ht="15" hidden="false" customHeight="true" outlineLevel="0" collapsed="false">
      <c r="A14" s="5" t="n">
        <v>27</v>
      </c>
      <c r="B14" s="5" t="s">
        <v>24</v>
      </c>
      <c r="C14" s="6" t="n">
        <v>262</v>
      </c>
      <c r="D14" s="6" t="n">
        <v>26</v>
      </c>
      <c r="E14" s="6" t="n">
        <v>26</v>
      </c>
      <c r="F14" s="7" t="n">
        <f aca="false">C14+D14-E14</f>
        <v>262</v>
      </c>
      <c r="G14" s="6" t="n">
        <v>262</v>
      </c>
      <c r="H14" s="7" t="n">
        <f aca="false">G14-F14</f>
        <v>0</v>
      </c>
      <c r="I14" s="6" t="n">
        <v>132</v>
      </c>
      <c r="J14" s="6" t="n">
        <v>130</v>
      </c>
      <c r="K14" s="7" t="n">
        <f aca="false">I14+J14</f>
        <v>262</v>
      </c>
      <c r="L14" s="7" t="n">
        <f aca="false">G14-K14</f>
        <v>0</v>
      </c>
      <c r="M14" s="5" t="str">
        <f aca="false">IF(AND(H14=0,L14=0),"OK","CHECK")</f>
        <v>OK</v>
      </c>
    </row>
    <row r="15" customFormat="false" ht="15" hidden="false" customHeight="true" outlineLevel="0" collapsed="false">
      <c r="A15" s="5" t="n">
        <v>28</v>
      </c>
      <c r="B15" s="5" t="s">
        <v>25</v>
      </c>
      <c r="C15" s="6" t="n">
        <v>267</v>
      </c>
      <c r="D15" s="6" t="n">
        <v>75</v>
      </c>
      <c r="E15" s="6" t="n">
        <v>27</v>
      </c>
      <c r="F15" s="7" t="n">
        <f aca="false">C15+D15-E15</f>
        <v>315</v>
      </c>
      <c r="G15" s="6" t="n">
        <v>315</v>
      </c>
      <c r="H15" s="7" t="n">
        <f aca="false">G15-F15</f>
        <v>0</v>
      </c>
      <c r="I15" s="6" t="n">
        <v>138</v>
      </c>
      <c r="J15" s="6" t="n">
        <v>177</v>
      </c>
      <c r="K15" s="7" t="n">
        <f aca="false">I15+J15</f>
        <v>315</v>
      </c>
      <c r="L15" s="7" t="n">
        <f aca="false">G15-K15</f>
        <v>0</v>
      </c>
      <c r="M15" s="5" t="str">
        <f aca="false">IF(AND(H15=0,L15=0),"OK","CHECK")</f>
        <v>OK</v>
      </c>
    </row>
    <row r="16" customFormat="false" ht="15" hidden="false" customHeight="true" outlineLevel="0" collapsed="false">
      <c r="A16" s="5" t="n">
        <v>30</v>
      </c>
      <c r="B16" s="5" t="s">
        <v>26</v>
      </c>
      <c r="C16" s="6" t="n">
        <v>327</v>
      </c>
      <c r="D16" s="6" t="n">
        <v>68</v>
      </c>
      <c r="E16" s="6" t="n">
        <v>36</v>
      </c>
      <c r="F16" s="7" t="n">
        <f aca="false">C16+D16-E16</f>
        <v>359</v>
      </c>
      <c r="G16" s="6" t="n">
        <v>359</v>
      </c>
      <c r="H16" s="7" t="n">
        <f aca="false">G16-F16</f>
        <v>0</v>
      </c>
      <c r="I16" s="6" t="n">
        <v>147</v>
      </c>
      <c r="J16" s="6" t="n">
        <v>212</v>
      </c>
      <c r="K16" s="7" t="n">
        <f aca="false">I16+J16</f>
        <v>359</v>
      </c>
      <c r="L16" s="7" t="n">
        <f aca="false">G16-K16</f>
        <v>0</v>
      </c>
      <c r="M16" s="5" t="str">
        <f aca="false">IF(AND(H16=0,L16=0),"OK","CHECK")</f>
        <v>OK</v>
      </c>
    </row>
    <row r="17" customFormat="false" ht="15" hidden="false" customHeight="true" outlineLevel="0" collapsed="false">
      <c r="A17" s="5" t="n">
        <v>31</v>
      </c>
      <c r="B17" s="5" t="s">
        <v>27</v>
      </c>
      <c r="C17" s="6" t="n">
        <v>361</v>
      </c>
      <c r="D17" s="6" t="n">
        <v>54</v>
      </c>
      <c r="E17" s="6" t="n">
        <v>52</v>
      </c>
      <c r="F17" s="7" t="n">
        <f aca="false">C17+D17-E17</f>
        <v>363</v>
      </c>
      <c r="G17" s="6" t="n">
        <v>363</v>
      </c>
      <c r="H17" s="7" t="n">
        <f aca="false">G17-F17</f>
        <v>0</v>
      </c>
      <c r="I17" s="6" t="n">
        <v>155</v>
      </c>
      <c r="J17" s="6" t="n">
        <v>208</v>
      </c>
      <c r="K17" s="7" t="n">
        <f aca="false">I17+J17</f>
        <v>363</v>
      </c>
      <c r="L17" s="7" t="n">
        <f aca="false">G17-K17</f>
        <v>0</v>
      </c>
      <c r="M17" s="5" t="str">
        <f aca="false">IF(AND(H17=0,L17=0),"OK","CHECK")</f>
        <v>OK</v>
      </c>
    </row>
    <row r="18" customFormat="false" ht="15" hidden="false" customHeight="true" outlineLevel="0" collapsed="false">
      <c r="A18" s="5" t="n">
        <v>32</v>
      </c>
      <c r="B18" s="5" t="s">
        <v>28</v>
      </c>
      <c r="C18" s="6" t="n">
        <v>362</v>
      </c>
      <c r="D18" s="6" t="n">
        <v>61</v>
      </c>
      <c r="E18" s="6" t="n">
        <v>47</v>
      </c>
      <c r="F18" s="7" t="n">
        <f aca="false">C18+D18-E18</f>
        <v>376</v>
      </c>
      <c r="G18" s="6" t="n">
        <v>376</v>
      </c>
      <c r="H18" s="7" t="n">
        <f aca="false">G18-F18</f>
        <v>0</v>
      </c>
      <c r="I18" s="6" t="n">
        <v>168</v>
      </c>
      <c r="J18" s="6" t="n">
        <v>208</v>
      </c>
      <c r="K18" s="7" t="n">
        <f aca="false">I18+J18</f>
        <v>376</v>
      </c>
      <c r="L18" s="7" t="n">
        <f aca="false">G18-K18</f>
        <v>0</v>
      </c>
      <c r="M18" s="5" t="str">
        <f aca="false">IF(AND(H18=0,L18=0),"OK","CHECK")</f>
        <v>OK</v>
      </c>
    </row>
    <row r="19" customFormat="false" ht="15" hidden="false" customHeight="true" outlineLevel="0" collapsed="false">
      <c r="A19" s="5" t="n">
        <v>33</v>
      </c>
      <c r="B19" s="5" t="s">
        <v>29</v>
      </c>
      <c r="C19" s="6" t="n">
        <v>376</v>
      </c>
      <c r="D19" s="6" t="n">
        <v>67</v>
      </c>
      <c r="E19" s="6" t="n">
        <v>64</v>
      </c>
      <c r="F19" s="7" t="n">
        <f aca="false">C19+D19-E19</f>
        <v>379</v>
      </c>
      <c r="G19" s="6" t="n">
        <v>379</v>
      </c>
      <c r="H19" s="7" t="n">
        <f aca="false">G19-F19</f>
        <v>0</v>
      </c>
      <c r="I19" s="6" t="n">
        <v>152</v>
      </c>
      <c r="J19" s="6" t="n">
        <v>227</v>
      </c>
      <c r="K19" s="7" t="n">
        <f aca="false">I19+J19</f>
        <v>379</v>
      </c>
      <c r="L19" s="7" t="n">
        <f aca="false">G19-K19</f>
        <v>0</v>
      </c>
      <c r="M19" s="5" t="str">
        <f aca="false">IF(AND(H19=0,L19=0),"OK","CHECK")</f>
        <v>OK</v>
      </c>
    </row>
    <row r="20" customFormat="false" ht="15" hidden="false" customHeight="true" outlineLevel="0" collapsed="false">
      <c r="A20" s="5" t="n">
        <v>34</v>
      </c>
      <c r="B20" s="5" t="s">
        <v>30</v>
      </c>
      <c r="C20" s="6" t="n">
        <v>356</v>
      </c>
      <c r="D20" s="6" t="n">
        <v>67</v>
      </c>
      <c r="E20" s="6" t="n">
        <v>40</v>
      </c>
      <c r="F20" s="7" t="n">
        <f aca="false">C20+D20-E20</f>
        <v>383</v>
      </c>
      <c r="G20" s="6" t="n">
        <v>383</v>
      </c>
      <c r="H20" s="7" t="n">
        <f aca="false">G20-F20</f>
        <v>0</v>
      </c>
      <c r="I20" s="6" t="n">
        <v>161</v>
      </c>
      <c r="J20" s="6" t="n">
        <v>222</v>
      </c>
      <c r="K20" s="7" t="n">
        <f aca="false">I20+J20</f>
        <v>383</v>
      </c>
      <c r="L20" s="7" t="n">
        <f aca="false">G20-K20</f>
        <v>0</v>
      </c>
      <c r="M20" s="5" t="str">
        <f aca="false">IF(AND(H20=0,L20=0),"OK","CHECK")</f>
        <v>OK</v>
      </c>
    </row>
    <row r="21" customFormat="false" ht="15" hidden="false" customHeight="true" outlineLevel="0" collapsed="false">
      <c r="A21" s="5" t="n">
        <v>36</v>
      </c>
      <c r="B21" s="5" t="s">
        <v>31</v>
      </c>
      <c r="C21" s="6" t="n">
        <v>342</v>
      </c>
      <c r="D21" s="6" t="n">
        <v>65</v>
      </c>
      <c r="E21" s="6" t="n">
        <v>46</v>
      </c>
      <c r="F21" s="7" t="n">
        <f aca="false">C21+D21-E21</f>
        <v>361</v>
      </c>
      <c r="G21" s="6" t="n">
        <v>361</v>
      </c>
      <c r="H21" s="7" t="n">
        <f aca="false">G21-F21</f>
        <v>0</v>
      </c>
      <c r="I21" s="6" t="n">
        <v>148</v>
      </c>
      <c r="J21" s="6" t="n">
        <v>213</v>
      </c>
      <c r="K21" s="7" t="n">
        <f aca="false">I21+J21</f>
        <v>361</v>
      </c>
      <c r="L21" s="7" t="n">
        <f aca="false">G21-K21</f>
        <v>0</v>
      </c>
      <c r="M21" s="5" t="str">
        <f aca="false">IF(AND(H21=0,L21=0),"OK","CHECK")</f>
        <v>OK</v>
      </c>
    </row>
    <row r="22" customFormat="false" ht="15" hidden="false" customHeight="true" outlineLevel="0" collapsed="false">
      <c r="A22" s="5" t="n">
        <v>37</v>
      </c>
      <c r="B22" s="5" t="s">
        <v>32</v>
      </c>
      <c r="C22" s="6" t="n">
        <v>373</v>
      </c>
      <c r="D22" s="6" t="n">
        <v>67</v>
      </c>
      <c r="E22" s="6" t="n">
        <v>75</v>
      </c>
      <c r="F22" s="7" t="n">
        <f aca="false">C22+D22-E22</f>
        <v>365</v>
      </c>
      <c r="G22" s="6" t="n">
        <v>365</v>
      </c>
      <c r="H22" s="7" t="n">
        <f aca="false">G22-F22</f>
        <v>0</v>
      </c>
      <c r="I22" s="6" t="n">
        <v>163</v>
      </c>
      <c r="J22" s="6" t="n">
        <v>202</v>
      </c>
      <c r="K22" s="7" t="n">
        <f aca="false">I22+J22</f>
        <v>365</v>
      </c>
      <c r="L22" s="7" t="n">
        <f aca="false">G22-K22</f>
        <v>0</v>
      </c>
      <c r="M22" s="5" t="str">
        <f aca="false">IF(AND(H22=0,L22=0),"OK","CHECK")</f>
        <v>OK</v>
      </c>
    </row>
    <row r="23" customFormat="false" ht="15" hidden="false" customHeight="true" outlineLevel="0" collapsed="false">
      <c r="A23" s="5" t="n">
        <v>38</v>
      </c>
      <c r="B23" s="5" t="s">
        <v>33</v>
      </c>
      <c r="C23" s="6" t="n">
        <v>360</v>
      </c>
      <c r="D23" s="6" t="n">
        <v>70</v>
      </c>
      <c r="E23" s="6" t="n">
        <v>59</v>
      </c>
      <c r="F23" s="7" t="n">
        <f aca="false">C23+D23-E23</f>
        <v>371</v>
      </c>
      <c r="G23" s="6" t="n">
        <v>371</v>
      </c>
      <c r="H23" s="7" t="n">
        <f aca="false">G23-F23</f>
        <v>0</v>
      </c>
      <c r="I23" s="6" t="n">
        <v>196</v>
      </c>
      <c r="J23" s="6" t="n">
        <v>175</v>
      </c>
      <c r="K23" s="7" t="n">
        <f aca="false">I23+J23</f>
        <v>371</v>
      </c>
      <c r="L23" s="7" t="n">
        <f aca="false">G23-K23</f>
        <v>0</v>
      </c>
      <c r="M23" s="5" t="str">
        <f aca="false">IF(AND(H23=0,L23=0),"OK","CHECK")</f>
        <v>OK</v>
      </c>
    </row>
    <row r="24" customFormat="false" ht="15" hidden="false" customHeight="true" outlineLevel="0" collapsed="false">
      <c r="A24" s="5" t="n">
        <v>39</v>
      </c>
      <c r="B24" s="5" t="s">
        <v>34</v>
      </c>
      <c r="C24" s="6" t="n">
        <v>335</v>
      </c>
      <c r="D24" s="6" t="n">
        <v>93</v>
      </c>
      <c r="E24" s="6" t="n">
        <v>41</v>
      </c>
      <c r="F24" s="7" t="n">
        <f aca="false">C24+D24-E24</f>
        <v>387</v>
      </c>
      <c r="G24" s="6" t="n">
        <v>387</v>
      </c>
      <c r="H24" s="7" t="n">
        <f aca="false">G24-F24</f>
        <v>0</v>
      </c>
      <c r="I24" s="6" t="n">
        <v>190</v>
      </c>
      <c r="J24" s="6" t="n">
        <v>197</v>
      </c>
      <c r="K24" s="7" t="n">
        <f aca="false">I24+J24</f>
        <v>387</v>
      </c>
      <c r="L24" s="7" t="n">
        <f aca="false">G24-K24</f>
        <v>0</v>
      </c>
      <c r="M24" s="5" t="str">
        <f aca="false">IF(AND(H24=0,L24=0),"OK","CHECK")</f>
        <v>OK</v>
      </c>
    </row>
    <row r="26" customFormat="false" ht="15" hidden="false" customHeight="true" outlineLevel="0" collapsed="false">
      <c r="A26" s="8" t="s">
        <v>35</v>
      </c>
    </row>
  </sheetData>
  <conditionalFormatting sqref="H5:H26">
    <cfRule type="cellIs" priority="2" operator="notEqual" aboveAverage="0" equalAverage="0" bottom="0" percent="0" rank="0" text="" dxfId="0">
      <formula>0</formula>
    </cfRule>
  </conditionalFormatting>
  <conditionalFormatting sqref="L5:L26">
    <cfRule type="cellIs" priority="3" operator="notEqual" aboveAverage="0" equalAverage="0" bottom="0" percent="0" rank="0" text="" dxfId="0">
      <formula>0</formula>
    </cfRule>
  </conditionalFormatting>
  <conditionalFormatting sqref="M5:M26">
    <cfRule type="expression" priority="4" aboveAverage="0" equalAverage="0" bottom="0" percent="0" rank="0" text="" dxfId="0">
      <formula>$M5="CHECK"</formula>
    </cfRule>
    <cfRule type="expression" priority="5" aboveAverage="0" equalAverage="0" bottom="0" percent="0" rank="0" text="" dxfId="1">
      <formula>$M5="OK"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2"/>
    <col collapsed="false" customWidth="true" hidden="false" outlineLevel="0" max="3" min="3" style="1" width="11"/>
    <col collapsed="false" customWidth="true" hidden="false" outlineLevel="0" max="4" min="4" style="1" width="12"/>
    <col collapsed="false" customWidth="true" hidden="false" outlineLevel="0" max="5" min="5" style="1" width="11"/>
    <col collapsed="false" customWidth="true" hidden="false" outlineLevel="0" max="6" min="6" style="1" width="12"/>
    <col collapsed="false" customWidth="true" hidden="false" outlineLevel="0" max="7" min="7" style="1" width="13"/>
    <col collapsed="false" customWidth="true" hidden="false" outlineLevel="0" max="8" min="8" style="1" width="16"/>
    <col collapsed="false" customWidth="true" hidden="false" outlineLevel="0" max="9" min="9" style="1" width="12"/>
    <col collapsed="false" customWidth="true" hidden="false" outlineLevel="0" max="10" min="10" style="1" width="11"/>
    <col collapsed="false" customWidth="true" hidden="false" outlineLevel="0" max="11" min="11" style="1" width="10"/>
    <col collapsed="false" customWidth="true" hidden="false" outlineLevel="0" max="12" min="12" style="1" width="13"/>
  </cols>
  <sheetData>
    <row r="1" customFormat="false" ht="15" hidden="false" customHeight="true" outlineLevel="0" collapsed="false">
      <c r="A1" s="2" t="s">
        <v>36</v>
      </c>
    </row>
    <row r="3" customFormat="false" ht="23.25" hidden="false" customHeight="true" outlineLevel="0" collapsed="false">
      <c r="A3" s="4" t="s">
        <v>2</v>
      </c>
      <c r="B3" s="4" t="s">
        <v>37</v>
      </c>
      <c r="C3" s="4" t="s">
        <v>38</v>
      </c>
      <c r="D3" s="4" t="s">
        <v>4</v>
      </c>
      <c r="E3" s="4" t="s">
        <v>39</v>
      </c>
      <c r="F3" s="4" t="s">
        <v>6</v>
      </c>
      <c r="G3" s="4" t="s">
        <v>40</v>
      </c>
      <c r="H3" s="4" t="s">
        <v>8</v>
      </c>
      <c r="I3" s="4" t="s">
        <v>9</v>
      </c>
      <c r="J3" s="4" t="s">
        <v>41</v>
      </c>
      <c r="K3" s="4" t="s">
        <v>11</v>
      </c>
      <c r="L3" s="4" t="s">
        <v>13</v>
      </c>
    </row>
    <row r="4" customFormat="false" ht="15" hidden="false" customHeight="true" outlineLevel="0" collapsed="false">
      <c r="A4" s="5" t="n">
        <v>18</v>
      </c>
      <c r="B4" s="5" t="s">
        <v>15</v>
      </c>
      <c r="C4" s="5" t="s">
        <v>42</v>
      </c>
      <c r="D4" s="6" t="n">
        <v>147</v>
      </c>
      <c r="E4" s="6" t="n">
        <v>21</v>
      </c>
      <c r="F4" s="6" t="n">
        <v>10</v>
      </c>
      <c r="G4" s="7" t="n">
        <f aca="false">D4+E4-F4</f>
        <v>158</v>
      </c>
      <c r="H4" s="6" t="n">
        <v>158</v>
      </c>
      <c r="I4" s="7" t="n">
        <f aca="false">H4-G4</f>
        <v>0</v>
      </c>
      <c r="J4" s="6" t="n">
        <v>34</v>
      </c>
      <c r="K4" s="6" t="n">
        <v>122</v>
      </c>
      <c r="L4" s="7" t="n">
        <f aca="false">H4-(J4+K4)</f>
        <v>2</v>
      </c>
    </row>
    <row r="5" customFormat="false" ht="15" hidden="false" customHeight="true" outlineLevel="0" collapsed="false">
      <c r="A5" s="5" t="n">
        <v>18</v>
      </c>
      <c r="B5" s="5" t="s">
        <v>15</v>
      </c>
      <c r="C5" s="5" t="s">
        <v>43</v>
      </c>
      <c r="D5" s="6" t="n">
        <v>8</v>
      </c>
      <c r="E5" s="6" t="n">
        <v>0</v>
      </c>
      <c r="F5" s="6" t="n">
        <v>3</v>
      </c>
      <c r="G5" s="7" t="n">
        <f aca="false">D5+E5-F5</f>
        <v>5</v>
      </c>
      <c r="H5" s="6" t="n">
        <v>8</v>
      </c>
      <c r="I5" s="7" t="n">
        <f aca="false">H5-G5</f>
        <v>3</v>
      </c>
      <c r="J5" s="6" t="n">
        <v>5</v>
      </c>
      <c r="K5" s="6" t="n">
        <v>3</v>
      </c>
      <c r="L5" s="7" t="n">
        <f aca="false">H5-(J5+K5)</f>
        <v>0</v>
      </c>
    </row>
    <row r="6" customFormat="false" ht="15" hidden="false" customHeight="true" outlineLevel="0" collapsed="false">
      <c r="A6" s="5" t="n">
        <v>18</v>
      </c>
      <c r="B6" s="5" t="s">
        <v>15</v>
      </c>
      <c r="C6" s="5" t="s">
        <v>44</v>
      </c>
      <c r="D6" s="6" t="n">
        <v>5</v>
      </c>
      <c r="E6" s="6" t="n">
        <v>1</v>
      </c>
      <c r="F6" s="6" t="n">
        <v>2</v>
      </c>
      <c r="G6" s="7" t="n">
        <f aca="false">D6+E6-F6</f>
        <v>4</v>
      </c>
      <c r="H6" s="6" t="n">
        <v>7</v>
      </c>
      <c r="I6" s="7" t="n">
        <f aca="false">H6-G6</f>
        <v>3</v>
      </c>
      <c r="J6" s="6" t="n">
        <v>2</v>
      </c>
      <c r="K6" s="6" t="n">
        <v>3</v>
      </c>
      <c r="L6" s="7" t="n">
        <f aca="false">H6-(J6+K6)</f>
        <v>2</v>
      </c>
    </row>
    <row r="7" customFormat="false" ht="15" hidden="false" customHeight="true" outlineLevel="0" collapsed="false">
      <c r="A7" s="9" t="n">
        <v>18</v>
      </c>
      <c r="B7" s="9" t="s">
        <v>15</v>
      </c>
      <c r="C7" s="9" t="s">
        <v>45</v>
      </c>
      <c r="D7" s="10" t="n">
        <v>160</v>
      </c>
      <c r="E7" s="10" t="n">
        <v>22</v>
      </c>
      <c r="F7" s="10" t="n">
        <v>15</v>
      </c>
      <c r="G7" s="11" t="n">
        <f aca="false">D7+E7-F7</f>
        <v>167</v>
      </c>
      <c r="H7" s="10" t="n">
        <v>173</v>
      </c>
      <c r="I7" s="11" t="n">
        <f aca="false">H7-G7</f>
        <v>6</v>
      </c>
      <c r="J7" s="10" t="n">
        <v>41</v>
      </c>
      <c r="K7" s="10" t="n">
        <v>128</v>
      </c>
      <c r="L7" s="11" t="n">
        <f aca="false">H7-(J7+K7)</f>
        <v>4</v>
      </c>
    </row>
    <row r="8" customFormat="false" ht="15" hidden="false" customHeight="true" outlineLevel="0" collapsed="false">
      <c r="A8" s="5" t="n">
        <v>19</v>
      </c>
      <c r="B8" s="5" t="s">
        <v>16</v>
      </c>
      <c r="C8" s="5" t="s">
        <v>42</v>
      </c>
      <c r="D8" s="6" t="n">
        <v>191</v>
      </c>
      <c r="E8" s="6" t="n">
        <v>28</v>
      </c>
      <c r="F8" s="6" t="n">
        <v>27</v>
      </c>
      <c r="G8" s="7" t="n">
        <f aca="false">D8+E8-F8</f>
        <v>192</v>
      </c>
      <c r="H8" s="6" t="n">
        <v>192</v>
      </c>
      <c r="I8" s="7" t="n">
        <f aca="false">H8-G8</f>
        <v>0</v>
      </c>
      <c r="J8" s="6" t="n">
        <v>40</v>
      </c>
      <c r="K8" s="6" t="n">
        <v>152</v>
      </c>
      <c r="L8" s="7" t="n">
        <f aca="false">H8-(J8+K8)</f>
        <v>0</v>
      </c>
    </row>
    <row r="9" customFormat="false" ht="15" hidden="false" customHeight="true" outlineLevel="0" collapsed="false">
      <c r="A9" s="5" t="n">
        <v>19</v>
      </c>
      <c r="B9" s="5" t="s">
        <v>16</v>
      </c>
      <c r="C9" s="5" t="s">
        <v>43</v>
      </c>
      <c r="D9" s="6" t="n">
        <v>8</v>
      </c>
      <c r="E9" s="6" t="n">
        <v>1</v>
      </c>
      <c r="F9" s="6" t="n">
        <v>1</v>
      </c>
      <c r="G9" s="7" t="n">
        <f aca="false">D9+E9-F9</f>
        <v>8</v>
      </c>
      <c r="H9" s="6" t="n">
        <v>8</v>
      </c>
      <c r="I9" s="7" t="n">
        <f aca="false">H9-G9</f>
        <v>0</v>
      </c>
      <c r="J9" s="6" t="n">
        <v>5</v>
      </c>
      <c r="K9" s="6" t="n">
        <v>3</v>
      </c>
      <c r="L9" s="7" t="n">
        <f aca="false">H9-(J9+K9)</f>
        <v>0</v>
      </c>
    </row>
    <row r="10" customFormat="false" ht="15" hidden="false" customHeight="true" outlineLevel="0" collapsed="false">
      <c r="A10" s="5" t="n">
        <v>19</v>
      </c>
      <c r="B10" s="5" t="s">
        <v>16</v>
      </c>
      <c r="C10" s="5" t="s">
        <v>44</v>
      </c>
      <c r="D10" s="6" t="n">
        <v>5</v>
      </c>
      <c r="E10" s="6" t="n">
        <v>1</v>
      </c>
      <c r="F10" s="6" t="n">
        <v>0</v>
      </c>
      <c r="G10" s="7" t="n">
        <f aca="false">D10+E10-F10</f>
        <v>6</v>
      </c>
      <c r="H10" s="6" t="n">
        <v>6</v>
      </c>
      <c r="I10" s="7" t="n">
        <f aca="false">H10-G10</f>
        <v>0</v>
      </c>
      <c r="J10" s="6" t="n">
        <v>2</v>
      </c>
      <c r="K10" s="6" t="n">
        <v>4</v>
      </c>
      <c r="L10" s="7" t="n">
        <f aca="false">H10-(J10+K10)</f>
        <v>0</v>
      </c>
    </row>
    <row r="11" customFormat="false" ht="15" hidden="false" customHeight="true" outlineLevel="0" collapsed="false">
      <c r="A11" s="9" t="n">
        <v>19</v>
      </c>
      <c r="B11" s="9" t="s">
        <v>16</v>
      </c>
      <c r="C11" s="9" t="s">
        <v>45</v>
      </c>
      <c r="D11" s="10" t="n">
        <v>204</v>
      </c>
      <c r="E11" s="10" t="n">
        <v>30</v>
      </c>
      <c r="F11" s="10" t="n">
        <v>28</v>
      </c>
      <c r="G11" s="11" t="n">
        <f aca="false">D11+E11-F11</f>
        <v>206</v>
      </c>
      <c r="H11" s="10" t="n">
        <v>206</v>
      </c>
      <c r="I11" s="11" t="n">
        <f aca="false">H11-G11</f>
        <v>0</v>
      </c>
      <c r="J11" s="10" t="n">
        <v>47</v>
      </c>
      <c r="K11" s="10" t="n">
        <v>159</v>
      </c>
      <c r="L11" s="11" t="n">
        <f aca="false">H11-(J11+K11)</f>
        <v>0</v>
      </c>
    </row>
    <row r="12" customFormat="false" ht="15" hidden="false" customHeight="true" outlineLevel="0" collapsed="false">
      <c r="A12" s="5" t="n">
        <v>20</v>
      </c>
      <c r="B12" s="5" t="s">
        <v>17</v>
      </c>
      <c r="C12" s="5" t="s">
        <v>42</v>
      </c>
      <c r="D12" s="6" t="n">
        <v>208</v>
      </c>
      <c r="E12" s="6" t="n">
        <v>47</v>
      </c>
      <c r="F12" s="6" t="n">
        <v>35</v>
      </c>
      <c r="G12" s="7" t="n">
        <f aca="false">D12+E12-F12</f>
        <v>220</v>
      </c>
      <c r="H12" s="6" t="n">
        <v>220</v>
      </c>
      <c r="I12" s="7" t="n">
        <f aca="false">H12-G12</f>
        <v>0</v>
      </c>
      <c r="J12" s="6" t="n">
        <v>57</v>
      </c>
      <c r="K12" s="6" t="n">
        <v>163</v>
      </c>
      <c r="L12" s="7" t="n">
        <f aca="false">H12-(J12+K12)</f>
        <v>0</v>
      </c>
    </row>
    <row r="13" customFormat="false" ht="15" hidden="false" customHeight="true" outlineLevel="0" collapsed="false">
      <c r="A13" s="5" t="n">
        <v>20</v>
      </c>
      <c r="B13" s="5" t="s">
        <v>17</v>
      </c>
      <c r="C13" s="5" t="s">
        <v>43</v>
      </c>
      <c r="D13" s="6" t="n">
        <v>8</v>
      </c>
      <c r="E13" s="6" t="n">
        <v>1</v>
      </c>
      <c r="F13" s="6" t="n">
        <v>1</v>
      </c>
      <c r="G13" s="7" t="n">
        <f aca="false">D13+E13-F13</f>
        <v>8</v>
      </c>
      <c r="H13" s="6" t="n">
        <v>8</v>
      </c>
      <c r="I13" s="7" t="n">
        <f aca="false">H13-G13</f>
        <v>0</v>
      </c>
      <c r="J13" s="6" t="n">
        <v>4</v>
      </c>
      <c r="K13" s="6" t="n">
        <v>4</v>
      </c>
      <c r="L13" s="7" t="n">
        <f aca="false">H13-(J13+K13)</f>
        <v>0</v>
      </c>
    </row>
    <row r="14" customFormat="false" ht="15" hidden="false" customHeight="true" outlineLevel="0" collapsed="false">
      <c r="A14" s="5" t="n">
        <v>20</v>
      </c>
      <c r="B14" s="5" t="s">
        <v>17</v>
      </c>
      <c r="C14" s="5" t="s">
        <v>44</v>
      </c>
      <c r="D14" s="6" t="n">
        <v>6</v>
      </c>
      <c r="E14" s="6" t="n">
        <v>0</v>
      </c>
      <c r="F14" s="6" t="n">
        <v>1</v>
      </c>
      <c r="G14" s="7" t="n">
        <f aca="false">D14+E14-F14</f>
        <v>5</v>
      </c>
      <c r="H14" s="6" t="n">
        <v>5</v>
      </c>
      <c r="I14" s="7" t="n">
        <f aca="false">H14-G14</f>
        <v>0</v>
      </c>
      <c r="J14" s="6" t="n">
        <v>1</v>
      </c>
      <c r="K14" s="6" t="n">
        <v>4</v>
      </c>
      <c r="L14" s="7" t="n">
        <f aca="false">H14-(J14+K14)</f>
        <v>0</v>
      </c>
    </row>
    <row r="15" customFormat="false" ht="15" hidden="false" customHeight="true" outlineLevel="0" collapsed="false">
      <c r="A15" s="9" t="n">
        <v>20</v>
      </c>
      <c r="B15" s="9" t="s">
        <v>17</v>
      </c>
      <c r="C15" s="9" t="s">
        <v>45</v>
      </c>
      <c r="D15" s="10" t="n">
        <v>222</v>
      </c>
      <c r="E15" s="10" t="n">
        <v>48</v>
      </c>
      <c r="F15" s="10" t="n">
        <v>37</v>
      </c>
      <c r="G15" s="11" t="n">
        <f aca="false">D15+E15-F15</f>
        <v>233</v>
      </c>
      <c r="H15" s="10" t="n">
        <v>233</v>
      </c>
      <c r="I15" s="11" t="n">
        <f aca="false">H15-G15</f>
        <v>0</v>
      </c>
      <c r="J15" s="10" t="n">
        <v>62</v>
      </c>
      <c r="K15" s="10" t="n">
        <v>171</v>
      </c>
      <c r="L15" s="11" t="n">
        <f aca="false">H15-(J15+K15)</f>
        <v>0</v>
      </c>
    </row>
    <row r="16" customFormat="false" ht="15" hidden="false" customHeight="true" outlineLevel="0" collapsed="false">
      <c r="A16" s="5" t="n">
        <v>21</v>
      </c>
      <c r="B16" s="5" t="s">
        <v>18</v>
      </c>
      <c r="C16" s="5" t="s">
        <v>42</v>
      </c>
      <c r="D16" s="6" t="n">
        <v>219</v>
      </c>
      <c r="E16" s="6" t="n">
        <v>61</v>
      </c>
      <c r="F16" s="6" t="n">
        <v>37</v>
      </c>
      <c r="G16" s="7" t="n">
        <f aca="false">D16+E16-F16</f>
        <v>243</v>
      </c>
      <c r="H16" s="6" t="n">
        <v>243</v>
      </c>
      <c r="I16" s="7" t="n">
        <f aca="false">H16-G16</f>
        <v>0</v>
      </c>
      <c r="J16" s="6" t="n">
        <v>66</v>
      </c>
      <c r="K16" s="6" t="n">
        <v>177</v>
      </c>
      <c r="L16" s="7" t="n">
        <f aca="false">H16-(J16+K16)</f>
        <v>0</v>
      </c>
    </row>
    <row r="17" customFormat="false" ht="15" hidden="false" customHeight="true" outlineLevel="0" collapsed="false">
      <c r="A17" s="5" t="n">
        <v>21</v>
      </c>
      <c r="B17" s="5" t="s">
        <v>18</v>
      </c>
      <c r="C17" s="5" t="s">
        <v>43</v>
      </c>
      <c r="D17" s="6" t="n">
        <v>8</v>
      </c>
      <c r="E17" s="6" t="n">
        <v>1</v>
      </c>
      <c r="F17" s="6" t="n">
        <v>0</v>
      </c>
      <c r="G17" s="7" t="n">
        <f aca="false">D17+E17-F17</f>
        <v>9</v>
      </c>
      <c r="H17" s="6" t="n">
        <v>9</v>
      </c>
      <c r="I17" s="7" t="n">
        <f aca="false">H17-G17</f>
        <v>0</v>
      </c>
      <c r="J17" s="6" t="n">
        <v>5</v>
      </c>
      <c r="K17" s="6" t="n">
        <v>4</v>
      </c>
      <c r="L17" s="7" t="n">
        <f aca="false">H17-(J17+K17)</f>
        <v>0</v>
      </c>
    </row>
    <row r="18" customFormat="false" ht="15" hidden="false" customHeight="true" outlineLevel="0" collapsed="false">
      <c r="A18" s="5" t="n">
        <v>21</v>
      </c>
      <c r="B18" s="5" t="s">
        <v>18</v>
      </c>
      <c r="C18" s="5" t="s">
        <v>44</v>
      </c>
      <c r="D18" s="6" t="n">
        <v>6</v>
      </c>
      <c r="E18" s="6" t="n">
        <v>0</v>
      </c>
      <c r="F18" s="6" t="n">
        <v>0</v>
      </c>
      <c r="G18" s="7" t="n">
        <f aca="false">D18+E18-F18</f>
        <v>6</v>
      </c>
      <c r="H18" s="6" t="n">
        <v>6</v>
      </c>
      <c r="I18" s="7" t="n">
        <f aca="false">H18-G18</f>
        <v>0</v>
      </c>
      <c r="J18" s="6" t="n">
        <v>1</v>
      </c>
      <c r="K18" s="6" t="n">
        <v>5</v>
      </c>
      <c r="L18" s="7" t="n">
        <f aca="false">H18-(J18+K18)</f>
        <v>0</v>
      </c>
    </row>
    <row r="19" customFormat="false" ht="15" hidden="false" customHeight="true" outlineLevel="0" collapsed="false">
      <c r="A19" s="9" t="n">
        <v>21</v>
      </c>
      <c r="B19" s="9" t="s">
        <v>18</v>
      </c>
      <c r="C19" s="9" t="s">
        <v>45</v>
      </c>
      <c r="D19" s="10" t="n">
        <v>233</v>
      </c>
      <c r="E19" s="10" t="n">
        <v>62</v>
      </c>
      <c r="F19" s="10" t="n">
        <v>37</v>
      </c>
      <c r="G19" s="11" t="n">
        <f aca="false">D19+E19-F19</f>
        <v>258</v>
      </c>
      <c r="H19" s="10" t="n">
        <v>258</v>
      </c>
      <c r="I19" s="11" t="n">
        <f aca="false">H19-G19</f>
        <v>0</v>
      </c>
      <c r="J19" s="10" t="n">
        <v>72</v>
      </c>
      <c r="K19" s="10" t="n">
        <v>186</v>
      </c>
      <c r="L19" s="11" t="n">
        <f aca="false">H19-(J19+K19)</f>
        <v>0</v>
      </c>
    </row>
    <row r="20" customFormat="false" ht="15" hidden="false" customHeight="true" outlineLevel="0" collapsed="false">
      <c r="A20" s="5" t="n">
        <v>22</v>
      </c>
      <c r="B20" s="5" t="s">
        <v>19</v>
      </c>
      <c r="C20" s="5" t="s">
        <v>42</v>
      </c>
      <c r="D20" s="6" t="n">
        <v>236</v>
      </c>
      <c r="E20" s="6" t="n">
        <v>37</v>
      </c>
      <c r="F20" s="6" t="n">
        <v>22</v>
      </c>
      <c r="G20" s="7" t="n">
        <f aca="false">D20+E20-F20</f>
        <v>251</v>
      </c>
      <c r="H20" s="6" t="n">
        <v>251</v>
      </c>
      <c r="I20" s="7" t="n">
        <f aca="false">H20-G20</f>
        <v>0</v>
      </c>
      <c r="J20" s="6" t="n">
        <v>83</v>
      </c>
      <c r="K20" s="6" t="n">
        <v>168</v>
      </c>
      <c r="L20" s="7" t="n">
        <f aca="false">H20-(J20+K20)</f>
        <v>0</v>
      </c>
    </row>
    <row r="21" customFormat="false" ht="15" hidden="false" customHeight="true" outlineLevel="0" collapsed="false">
      <c r="A21" s="5" t="n">
        <v>22</v>
      </c>
      <c r="B21" s="5" t="s">
        <v>19</v>
      </c>
      <c r="C21" s="5" t="s">
        <v>43</v>
      </c>
      <c r="D21" s="6" t="n">
        <v>8</v>
      </c>
      <c r="E21" s="6" t="n">
        <v>1</v>
      </c>
      <c r="F21" s="6" t="n">
        <v>0</v>
      </c>
      <c r="G21" s="7" t="n">
        <f aca="false">D21+E21-F21</f>
        <v>9</v>
      </c>
      <c r="H21" s="6" t="n">
        <v>9</v>
      </c>
      <c r="I21" s="7" t="n">
        <f aca="false">H21-G21</f>
        <v>0</v>
      </c>
      <c r="J21" s="6" t="n">
        <v>5</v>
      </c>
      <c r="K21" s="6" t="n">
        <v>4</v>
      </c>
      <c r="L21" s="7" t="n">
        <f aca="false">H21-(J21+K21)</f>
        <v>0</v>
      </c>
    </row>
    <row r="22" customFormat="false" ht="15" hidden="false" customHeight="true" outlineLevel="0" collapsed="false">
      <c r="A22" s="5" t="n">
        <v>22</v>
      </c>
      <c r="B22" s="5" t="s">
        <v>19</v>
      </c>
      <c r="C22" s="5" t="s">
        <v>44</v>
      </c>
      <c r="D22" s="6" t="n">
        <v>7</v>
      </c>
      <c r="E22" s="6" t="n">
        <v>0</v>
      </c>
      <c r="F22" s="6" t="n">
        <v>0</v>
      </c>
      <c r="G22" s="7" t="n">
        <f aca="false">D22+E22-F22</f>
        <v>7</v>
      </c>
      <c r="H22" s="6" t="n">
        <v>7</v>
      </c>
      <c r="I22" s="7" t="n">
        <f aca="false">H22-G22</f>
        <v>0</v>
      </c>
      <c r="J22" s="6" t="n">
        <v>1</v>
      </c>
      <c r="K22" s="6" t="n">
        <v>6</v>
      </c>
      <c r="L22" s="7" t="n">
        <f aca="false">H22-(J22+K22)</f>
        <v>0</v>
      </c>
    </row>
    <row r="23" customFormat="false" ht="15" hidden="false" customHeight="true" outlineLevel="0" collapsed="false">
      <c r="A23" s="9" t="n">
        <v>22</v>
      </c>
      <c r="B23" s="9" t="s">
        <v>19</v>
      </c>
      <c r="C23" s="9" t="s">
        <v>45</v>
      </c>
      <c r="D23" s="10" t="n">
        <v>251</v>
      </c>
      <c r="E23" s="10" t="n">
        <v>38</v>
      </c>
      <c r="F23" s="10" t="n">
        <v>22</v>
      </c>
      <c r="G23" s="11" t="n">
        <f aca="false">D23+E23-F23</f>
        <v>267</v>
      </c>
      <c r="H23" s="10" t="n">
        <v>267</v>
      </c>
      <c r="I23" s="11" t="n">
        <f aca="false">H23-G23</f>
        <v>0</v>
      </c>
      <c r="J23" s="10" t="n">
        <v>89</v>
      </c>
      <c r="K23" s="10" t="n">
        <v>178</v>
      </c>
      <c r="L23" s="11" t="n">
        <f aca="false">H23-(J23+K23)</f>
        <v>0</v>
      </c>
    </row>
    <row r="24" customFormat="false" ht="15" hidden="false" customHeight="true" outlineLevel="0" collapsed="false">
      <c r="A24" s="5" t="n">
        <v>23</v>
      </c>
      <c r="B24" s="5" t="s">
        <v>20</v>
      </c>
      <c r="C24" s="5" t="s">
        <v>42</v>
      </c>
      <c r="D24" s="6" t="n">
        <v>257</v>
      </c>
      <c r="E24" s="6" t="n">
        <v>29</v>
      </c>
      <c r="F24" s="6" t="n">
        <v>26</v>
      </c>
      <c r="G24" s="7" t="n">
        <f aca="false">D24+E24-F24</f>
        <v>260</v>
      </c>
      <c r="H24" s="6" t="n">
        <v>260</v>
      </c>
      <c r="I24" s="7" t="n">
        <f aca="false">H24-G24</f>
        <v>0</v>
      </c>
      <c r="J24" s="6" t="n">
        <v>99</v>
      </c>
      <c r="K24" s="6" t="n">
        <v>161</v>
      </c>
      <c r="L24" s="7" t="n">
        <f aca="false">H24-(J24+K24)</f>
        <v>0</v>
      </c>
    </row>
    <row r="25" customFormat="false" ht="15" hidden="false" customHeight="true" outlineLevel="0" collapsed="false">
      <c r="A25" s="5" t="n">
        <v>23</v>
      </c>
      <c r="B25" s="5" t="s">
        <v>20</v>
      </c>
      <c r="C25" s="5" t="s">
        <v>43</v>
      </c>
      <c r="D25" s="6" t="n">
        <v>16</v>
      </c>
      <c r="E25" s="6" t="n">
        <v>1</v>
      </c>
      <c r="F25" s="6" t="n">
        <v>1</v>
      </c>
      <c r="G25" s="7" t="n">
        <f aca="false">D25+E25-F25</f>
        <v>16</v>
      </c>
      <c r="H25" s="6" t="n">
        <v>16</v>
      </c>
      <c r="I25" s="7" t="n">
        <f aca="false">H25-G25</f>
        <v>0</v>
      </c>
      <c r="J25" s="6" t="n">
        <v>5</v>
      </c>
      <c r="K25" s="6" t="n">
        <v>11</v>
      </c>
      <c r="L25" s="7" t="n">
        <f aca="false">H25-(J25+K25)</f>
        <v>0</v>
      </c>
    </row>
    <row r="26" customFormat="false" ht="15" hidden="false" customHeight="true" outlineLevel="0" collapsed="false">
      <c r="A26" s="5" t="n">
        <v>23</v>
      </c>
      <c r="B26" s="5" t="s">
        <v>20</v>
      </c>
      <c r="C26" s="5" t="s">
        <v>44</v>
      </c>
      <c r="D26" s="6" t="n">
        <v>7</v>
      </c>
      <c r="E26" s="6" t="n">
        <v>0</v>
      </c>
      <c r="F26" s="6" t="n">
        <v>0</v>
      </c>
      <c r="G26" s="7" t="n">
        <f aca="false">D26+E26-F26</f>
        <v>7</v>
      </c>
      <c r="H26" s="6" t="n">
        <v>7</v>
      </c>
      <c r="I26" s="7" t="n">
        <f aca="false">H26-G26</f>
        <v>0</v>
      </c>
      <c r="J26" s="6" t="n">
        <v>1</v>
      </c>
      <c r="K26" s="6" t="n">
        <v>6</v>
      </c>
      <c r="L26" s="7" t="n">
        <f aca="false">H26-(J26+K26)</f>
        <v>0</v>
      </c>
    </row>
    <row r="27" customFormat="false" ht="15" hidden="false" customHeight="true" outlineLevel="0" collapsed="false">
      <c r="A27" s="9" t="n">
        <v>23</v>
      </c>
      <c r="B27" s="9" t="s">
        <v>20</v>
      </c>
      <c r="C27" s="9" t="s">
        <v>45</v>
      </c>
      <c r="D27" s="10" t="n">
        <v>280</v>
      </c>
      <c r="E27" s="10" t="n">
        <v>30</v>
      </c>
      <c r="F27" s="10" t="n">
        <v>27</v>
      </c>
      <c r="G27" s="11" t="n">
        <f aca="false">D27+E27-F27</f>
        <v>283</v>
      </c>
      <c r="H27" s="10" t="n">
        <v>283</v>
      </c>
      <c r="I27" s="11" t="n">
        <f aca="false">H27-G27</f>
        <v>0</v>
      </c>
      <c r="J27" s="10" t="n">
        <v>105</v>
      </c>
      <c r="K27" s="10" t="n">
        <v>178</v>
      </c>
      <c r="L27" s="11" t="n">
        <f aca="false">H27-(J27+K27)</f>
        <v>0</v>
      </c>
    </row>
    <row r="28" customFormat="false" ht="15" hidden="false" customHeight="true" outlineLevel="0" collapsed="false">
      <c r="A28" s="5" t="n">
        <v>24</v>
      </c>
      <c r="B28" s="5" t="s">
        <v>21</v>
      </c>
      <c r="C28" s="5" t="s">
        <v>42</v>
      </c>
      <c r="D28" s="6" t="n">
        <v>260</v>
      </c>
      <c r="E28" s="6" t="n">
        <v>55</v>
      </c>
      <c r="F28" s="6" t="n">
        <v>31</v>
      </c>
      <c r="G28" s="7" t="n">
        <f aca="false">D28+E28-F28</f>
        <v>284</v>
      </c>
      <c r="H28" s="6" t="n">
        <v>284</v>
      </c>
      <c r="I28" s="7" t="n">
        <f aca="false">H28-G28</f>
        <v>0</v>
      </c>
      <c r="J28" s="6" t="n">
        <v>110</v>
      </c>
      <c r="K28" s="6" t="n">
        <v>174</v>
      </c>
      <c r="L28" s="7" t="n">
        <f aca="false">H28-(J28+K28)</f>
        <v>0</v>
      </c>
    </row>
    <row r="29" customFormat="false" ht="15" hidden="false" customHeight="true" outlineLevel="0" collapsed="false">
      <c r="A29" s="5" t="n">
        <v>24</v>
      </c>
      <c r="B29" s="5" t="s">
        <v>21</v>
      </c>
      <c r="C29" s="5" t="s">
        <v>43</v>
      </c>
      <c r="D29" s="6" t="n">
        <v>16</v>
      </c>
      <c r="E29" s="6" t="n">
        <v>6</v>
      </c>
      <c r="F29" s="6" t="n">
        <v>4</v>
      </c>
      <c r="G29" s="7" t="n">
        <f aca="false">D29+E29-F29</f>
        <v>18</v>
      </c>
      <c r="H29" s="6" t="n">
        <v>18</v>
      </c>
      <c r="I29" s="7" t="n">
        <f aca="false">H29-G29</f>
        <v>0</v>
      </c>
      <c r="J29" s="6" t="n">
        <v>5</v>
      </c>
      <c r="K29" s="6" t="n">
        <v>13</v>
      </c>
      <c r="L29" s="7" t="n">
        <f aca="false">H29-(J29+K29)</f>
        <v>0</v>
      </c>
    </row>
    <row r="30" customFormat="false" ht="15" hidden="false" customHeight="true" outlineLevel="0" collapsed="false">
      <c r="A30" s="5" t="n">
        <v>24</v>
      </c>
      <c r="B30" s="5" t="s">
        <v>21</v>
      </c>
      <c r="C30" s="5" t="s">
        <v>44</v>
      </c>
      <c r="D30" s="6" t="n">
        <v>7</v>
      </c>
      <c r="E30" s="6" t="n">
        <v>0</v>
      </c>
      <c r="F30" s="6" t="n">
        <v>0</v>
      </c>
      <c r="G30" s="7" t="n">
        <f aca="false">D30+E30-F30</f>
        <v>7</v>
      </c>
      <c r="H30" s="6" t="n">
        <v>7</v>
      </c>
      <c r="I30" s="7" t="n">
        <f aca="false">H30-G30</f>
        <v>0</v>
      </c>
      <c r="J30" s="6" t="n">
        <v>1</v>
      </c>
      <c r="K30" s="6" t="n">
        <v>6</v>
      </c>
      <c r="L30" s="7" t="n">
        <f aca="false">H30-(J30+K30)</f>
        <v>0</v>
      </c>
    </row>
    <row r="31" customFormat="false" ht="15" hidden="false" customHeight="true" outlineLevel="0" collapsed="false">
      <c r="A31" s="9" t="n">
        <v>24</v>
      </c>
      <c r="B31" s="9" t="s">
        <v>21</v>
      </c>
      <c r="C31" s="9" t="s">
        <v>45</v>
      </c>
      <c r="D31" s="10" t="n">
        <v>283</v>
      </c>
      <c r="E31" s="10" t="n">
        <v>61</v>
      </c>
      <c r="F31" s="10" t="n">
        <v>35</v>
      </c>
      <c r="G31" s="11" t="n">
        <f aca="false">D31+E31-F31</f>
        <v>309</v>
      </c>
      <c r="H31" s="10" t="n">
        <v>309</v>
      </c>
      <c r="I31" s="11" t="n">
        <f aca="false">H31-G31</f>
        <v>0</v>
      </c>
      <c r="J31" s="10" t="n">
        <v>116</v>
      </c>
      <c r="K31" s="10" t="n">
        <v>193</v>
      </c>
      <c r="L31" s="11" t="n">
        <f aca="false">H31-(J31+K31)</f>
        <v>0</v>
      </c>
    </row>
    <row r="32" customFormat="false" ht="15" hidden="false" customHeight="true" outlineLevel="0" collapsed="false">
      <c r="A32" s="5" t="n">
        <v>25</v>
      </c>
      <c r="B32" s="5" t="s">
        <v>22</v>
      </c>
      <c r="C32" s="5" t="s">
        <v>42</v>
      </c>
      <c r="D32" s="6" t="n">
        <v>286</v>
      </c>
      <c r="E32" s="6" t="n">
        <v>27</v>
      </c>
      <c r="F32" s="6" t="n">
        <v>47</v>
      </c>
      <c r="G32" s="7" t="n">
        <f aca="false">D32+E32-F32</f>
        <v>266</v>
      </c>
      <c r="H32" s="6" t="n">
        <v>266</v>
      </c>
      <c r="I32" s="7" t="n">
        <f aca="false">H32-G32</f>
        <v>0</v>
      </c>
      <c r="J32" s="6" t="n">
        <v>106</v>
      </c>
      <c r="K32" s="6" t="n">
        <v>160</v>
      </c>
      <c r="L32" s="7" t="n">
        <f aca="false">H32-(J32+K32)</f>
        <v>0</v>
      </c>
    </row>
    <row r="33" customFormat="false" ht="15" hidden="false" customHeight="true" outlineLevel="0" collapsed="false">
      <c r="A33" s="5" t="n">
        <v>25</v>
      </c>
      <c r="B33" s="5" t="s">
        <v>22</v>
      </c>
      <c r="C33" s="5" t="s">
        <v>43</v>
      </c>
      <c r="D33" s="6" t="n">
        <v>17</v>
      </c>
      <c r="E33" s="6" t="n">
        <v>7</v>
      </c>
      <c r="F33" s="6" t="n">
        <v>0</v>
      </c>
      <c r="G33" s="7" t="n">
        <f aca="false">D33+E33-F33</f>
        <v>24</v>
      </c>
      <c r="H33" s="6" t="n">
        <v>24</v>
      </c>
      <c r="I33" s="7" t="n">
        <f aca="false">H33-G33</f>
        <v>0</v>
      </c>
      <c r="J33" s="6" t="n">
        <v>6</v>
      </c>
      <c r="K33" s="6" t="n">
        <v>18</v>
      </c>
      <c r="L33" s="7" t="n">
        <f aca="false">H33-(J33+K33)</f>
        <v>0</v>
      </c>
    </row>
    <row r="34" customFormat="false" ht="15" hidden="false" customHeight="true" outlineLevel="0" collapsed="false">
      <c r="A34" s="5" t="n">
        <v>25</v>
      </c>
      <c r="B34" s="5" t="s">
        <v>22</v>
      </c>
      <c r="C34" s="5" t="s">
        <v>44</v>
      </c>
      <c r="D34" s="6" t="n">
        <v>7</v>
      </c>
      <c r="E34" s="6" t="n">
        <v>0</v>
      </c>
      <c r="F34" s="6" t="n">
        <v>0</v>
      </c>
      <c r="G34" s="7" t="n">
        <f aca="false">D34+E34-F34</f>
        <v>7</v>
      </c>
      <c r="H34" s="6" t="n">
        <v>7</v>
      </c>
      <c r="I34" s="7" t="n">
        <f aca="false">H34-G34</f>
        <v>0</v>
      </c>
      <c r="J34" s="6" t="n">
        <v>1</v>
      </c>
      <c r="K34" s="6" t="n">
        <v>6</v>
      </c>
      <c r="L34" s="7" t="n">
        <f aca="false">H34-(J34+K34)</f>
        <v>0</v>
      </c>
    </row>
    <row r="35" customFormat="false" ht="15" hidden="false" customHeight="true" outlineLevel="0" collapsed="false">
      <c r="A35" s="9" t="n">
        <v>25</v>
      </c>
      <c r="B35" s="9" t="s">
        <v>22</v>
      </c>
      <c r="C35" s="9" t="s">
        <v>45</v>
      </c>
      <c r="D35" s="10" t="n">
        <v>310</v>
      </c>
      <c r="E35" s="10" t="n">
        <v>34</v>
      </c>
      <c r="F35" s="10" t="n">
        <v>47</v>
      </c>
      <c r="G35" s="11" t="n">
        <f aca="false">D35+E35-F35</f>
        <v>297</v>
      </c>
      <c r="H35" s="10" t="n">
        <v>297</v>
      </c>
      <c r="I35" s="11" t="n">
        <f aca="false">H35-G35</f>
        <v>0</v>
      </c>
      <c r="J35" s="10" t="n">
        <v>113</v>
      </c>
      <c r="K35" s="10" t="n">
        <v>184</v>
      </c>
      <c r="L35" s="11" t="n">
        <f aca="false">H35-(J35+K35)</f>
        <v>0</v>
      </c>
    </row>
    <row r="36" customFormat="false" ht="15" hidden="false" customHeight="true" outlineLevel="0" collapsed="false">
      <c r="A36" s="5" t="n">
        <v>26</v>
      </c>
      <c r="B36" s="5" t="s">
        <v>23</v>
      </c>
      <c r="C36" s="5" t="s">
        <v>42</v>
      </c>
      <c r="D36" s="6" t="n">
        <v>245</v>
      </c>
      <c r="E36" s="6" t="n">
        <v>31</v>
      </c>
      <c r="F36" s="6" t="n">
        <v>39</v>
      </c>
      <c r="G36" s="7" t="n">
        <f aca="false">D36+E36-F36</f>
        <v>237</v>
      </c>
      <c r="H36" s="6" t="n">
        <v>237</v>
      </c>
      <c r="I36" s="7" t="n">
        <f aca="false">H36-G36</f>
        <v>0</v>
      </c>
      <c r="J36" s="6" t="n">
        <v>111</v>
      </c>
      <c r="K36" s="6" t="n">
        <v>126</v>
      </c>
      <c r="L36" s="7" t="n">
        <f aca="false">H36-(J36+K36)</f>
        <v>0</v>
      </c>
    </row>
    <row r="37" customFormat="false" ht="15" hidden="false" customHeight="true" outlineLevel="0" collapsed="false">
      <c r="A37" s="5" t="n">
        <v>26</v>
      </c>
      <c r="B37" s="5" t="s">
        <v>23</v>
      </c>
      <c r="C37" s="5" t="s">
        <v>43</v>
      </c>
      <c r="D37" s="6" t="n">
        <v>17</v>
      </c>
      <c r="E37" s="6" t="n">
        <v>0</v>
      </c>
      <c r="F37" s="6" t="n">
        <v>0</v>
      </c>
      <c r="G37" s="7" t="n">
        <f aca="false">D37+E37-F37</f>
        <v>17</v>
      </c>
      <c r="H37" s="6" t="n">
        <v>17</v>
      </c>
      <c r="I37" s="7" t="n">
        <f aca="false">H37-G37</f>
        <v>0</v>
      </c>
      <c r="J37" s="6" t="n">
        <v>5</v>
      </c>
      <c r="K37" s="6" t="n">
        <v>12</v>
      </c>
      <c r="L37" s="7" t="n">
        <f aca="false">H37-(J37+K37)</f>
        <v>0</v>
      </c>
    </row>
    <row r="38" customFormat="false" ht="15" hidden="false" customHeight="true" outlineLevel="0" collapsed="false">
      <c r="A38" s="5" t="n">
        <v>26</v>
      </c>
      <c r="B38" s="5" t="s">
        <v>23</v>
      </c>
      <c r="C38" s="5" t="s">
        <v>44</v>
      </c>
      <c r="D38" s="6" t="n">
        <v>6</v>
      </c>
      <c r="E38" s="6" t="n">
        <v>0</v>
      </c>
      <c r="F38" s="6" t="n">
        <v>0</v>
      </c>
      <c r="G38" s="7" t="n">
        <f aca="false">D38+E38-F38</f>
        <v>6</v>
      </c>
      <c r="H38" s="6" t="n">
        <v>6</v>
      </c>
      <c r="I38" s="7" t="n">
        <f aca="false">H38-G38</f>
        <v>0</v>
      </c>
      <c r="J38" s="6" t="n">
        <v>1</v>
      </c>
      <c r="K38" s="6" t="n">
        <v>5</v>
      </c>
      <c r="L38" s="7" t="n">
        <f aca="false">H38-(J38+K38)</f>
        <v>0</v>
      </c>
    </row>
    <row r="39" customFormat="false" ht="15" hidden="false" customHeight="true" outlineLevel="0" collapsed="false">
      <c r="A39" s="9" t="n">
        <v>26</v>
      </c>
      <c r="B39" s="9" t="s">
        <v>23</v>
      </c>
      <c r="C39" s="9" t="s">
        <v>45</v>
      </c>
      <c r="D39" s="10" t="n">
        <v>268</v>
      </c>
      <c r="E39" s="10" t="n">
        <v>31</v>
      </c>
      <c r="F39" s="10" t="n">
        <v>39</v>
      </c>
      <c r="G39" s="11" t="n">
        <f aca="false">D39+E39-F39</f>
        <v>260</v>
      </c>
      <c r="H39" s="10" t="n">
        <v>260</v>
      </c>
      <c r="I39" s="11" t="n">
        <f aca="false">H39-G39</f>
        <v>0</v>
      </c>
      <c r="J39" s="10" t="n">
        <v>117</v>
      </c>
      <c r="K39" s="10" t="n">
        <v>143</v>
      </c>
      <c r="L39" s="11" t="n">
        <f aca="false">H39-(J39+K39)</f>
        <v>0</v>
      </c>
    </row>
    <row r="40" customFormat="false" ht="15" hidden="false" customHeight="true" outlineLevel="0" collapsed="false">
      <c r="A40" s="5" t="n">
        <v>27</v>
      </c>
      <c r="B40" s="5" t="s">
        <v>24</v>
      </c>
      <c r="C40" s="5" t="s">
        <v>42</v>
      </c>
      <c r="D40" s="6" t="n">
        <v>239</v>
      </c>
      <c r="E40" s="6" t="n">
        <v>26</v>
      </c>
      <c r="F40" s="6" t="n">
        <v>26</v>
      </c>
      <c r="G40" s="7" t="n">
        <f aca="false">D40+E40-F40</f>
        <v>239</v>
      </c>
      <c r="H40" s="6" t="n">
        <v>239</v>
      </c>
      <c r="I40" s="7" t="n">
        <f aca="false">H40-G40</f>
        <v>0</v>
      </c>
      <c r="J40" s="6" t="n">
        <v>126</v>
      </c>
      <c r="K40" s="6" t="n">
        <v>113</v>
      </c>
      <c r="L40" s="7" t="n">
        <f aca="false">H40-(J40+K40)</f>
        <v>0</v>
      </c>
    </row>
    <row r="41" customFormat="false" ht="15" hidden="false" customHeight="true" outlineLevel="0" collapsed="false">
      <c r="A41" s="5" t="n">
        <v>27</v>
      </c>
      <c r="B41" s="5" t="s">
        <v>24</v>
      </c>
      <c r="C41" s="5" t="s">
        <v>43</v>
      </c>
      <c r="D41" s="6" t="n">
        <v>17</v>
      </c>
      <c r="E41" s="6" t="n">
        <v>0</v>
      </c>
      <c r="F41" s="6" t="n">
        <v>0</v>
      </c>
      <c r="G41" s="7" t="n">
        <f aca="false">D41+E41-F41</f>
        <v>17</v>
      </c>
      <c r="H41" s="6" t="n">
        <v>17</v>
      </c>
      <c r="I41" s="7" t="n">
        <f aca="false">H41-G41</f>
        <v>0</v>
      </c>
      <c r="J41" s="6" t="n">
        <v>5</v>
      </c>
      <c r="K41" s="6" t="n">
        <v>12</v>
      </c>
      <c r="L41" s="7" t="n">
        <f aca="false">H41-(J41+K41)</f>
        <v>0</v>
      </c>
    </row>
    <row r="42" customFormat="false" ht="15" hidden="false" customHeight="true" outlineLevel="0" collapsed="false">
      <c r="A42" s="5" t="n">
        <v>27</v>
      </c>
      <c r="B42" s="5" t="s">
        <v>24</v>
      </c>
      <c r="C42" s="5" t="s">
        <v>44</v>
      </c>
      <c r="D42" s="6" t="n">
        <v>6</v>
      </c>
      <c r="E42" s="6" t="n">
        <v>0</v>
      </c>
      <c r="F42" s="6" t="n">
        <v>0</v>
      </c>
      <c r="G42" s="7" t="n">
        <f aca="false">D42+E42-F42</f>
        <v>6</v>
      </c>
      <c r="H42" s="6" t="n">
        <v>6</v>
      </c>
      <c r="I42" s="7" t="n">
        <f aca="false">H42-G42</f>
        <v>0</v>
      </c>
      <c r="J42" s="6" t="n">
        <v>1</v>
      </c>
      <c r="K42" s="6" t="n">
        <v>5</v>
      </c>
      <c r="L42" s="7" t="n">
        <f aca="false">H42-(J42+K42)</f>
        <v>0</v>
      </c>
    </row>
    <row r="43" customFormat="false" ht="15" hidden="false" customHeight="true" outlineLevel="0" collapsed="false">
      <c r="A43" s="9" t="n">
        <v>27</v>
      </c>
      <c r="B43" s="9" t="s">
        <v>24</v>
      </c>
      <c r="C43" s="9" t="s">
        <v>45</v>
      </c>
      <c r="D43" s="10" t="n">
        <v>262</v>
      </c>
      <c r="E43" s="10" t="n">
        <v>26</v>
      </c>
      <c r="F43" s="10" t="n">
        <v>26</v>
      </c>
      <c r="G43" s="11" t="n">
        <f aca="false">D43+E43-F43</f>
        <v>262</v>
      </c>
      <c r="H43" s="10" t="n">
        <v>262</v>
      </c>
      <c r="I43" s="11" t="n">
        <f aca="false">H43-G43</f>
        <v>0</v>
      </c>
      <c r="J43" s="10" t="n">
        <v>132</v>
      </c>
      <c r="K43" s="10" t="n">
        <v>130</v>
      </c>
      <c r="L43" s="11" t="n">
        <f aca="false">H43-(J43+K43)</f>
        <v>0</v>
      </c>
    </row>
    <row r="44" customFormat="false" ht="15" hidden="false" customHeight="true" outlineLevel="0" collapsed="false">
      <c r="A44" s="5" t="n">
        <v>28</v>
      </c>
      <c r="B44" s="5" t="s">
        <v>25</v>
      </c>
      <c r="C44" s="5" t="s">
        <v>42</v>
      </c>
      <c r="D44" s="6" t="n">
        <v>247</v>
      </c>
      <c r="E44" s="6" t="n">
        <v>47</v>
      </c>
      <c r="F44" s="6" t="n">
        <v>22</v>
      </c>
      <c r="G44" s="7" t="n">
        <f aca="false">D44+E44-F44</f>
        <v>272</v>
      </c>
      <c r="H44" s="6" t="n">
        <v>272</v>
      </c>
      <c r="I44" s="7" t="n">
        <f aca="false">H44-G44</f>
        <v>0</v>
      </c>
      <c r="J44" s="6" t="n">
        <v>131</v>
      </c>
      <c r="K44" s="6" t="n">
        <v>141</v>
      </c>
      <c r="L44" s="7" t="n">
        <f aca="false">H44-(J44+K44)</f>
        <v>0</v>
      </c>
    </row>
    <row r="45" customFormat="false" ht="15" hidden="false" customHeight="true" outlineLevel="0" collapsed="false">
      <c r="A45" s="5" t="n">
        <v>28</v>
      </c>
      <c r="B45" s="5" t="s">
        <v>25</v>
      </c>
      <c r="C45" s="5" t="s">
        <v>43</v>
      </c>
      <c r="D45" s="6" t="n">
        <v>13</v>
      </c>
      <c r="E45" s="6" t="n">
        <v>18</v>
      </c>
      <c r="F45" s="6" t="n">
        <v>0</v>
      </c>
      <c r="G45" s="7" t="n">
        <f aca="false">D45+E45-F45</f>
        <v>31</v>
      </c>
      <c r="H45" s="6" t="n">
        <v>31</v>
      </c>
      <c r="I45" s="7" t="n">
        <f aca="false">H45-G45</f>
        <v>0</v>
      </c>
      <c r="J45" s="6" t="n">
        <v>6</v>
      </c>
      <c r="K45" s="6" t="n">
        <v>25</v>
      </c>
      <c r="L45" s="7" t="n">
        <f aca="false">H45-(J45+K45)</f>
        <v>0</v>
      </c>
    </row>
    <row r="46" customFormat="false" ht="15" hidden="false" customHeight="true" outlineLevel="0" collapsed="false">
      <c r="A46" s="5" t="n">
        <v>28</v>
      </c>
      <c r="B46" s="5" t="s">
        <v>25</v>
      </c>
      <c r="C46" s="5" t="s">
        <v>44</v>
      </c>
      <c r="D46" s="6" t="n">
        <v>7</v>
      </c>
      <c r="E46" s="6" t="n">
        <v>10</v>
      </c>
      <c r="F46" s="6" t="n">
        <v>5</v>
      </c>
      <c r="G46" s="7" t="n">
        <f aca="false">D46+E46-F46</f>
        <v>12</v>
      </c>
      <c r="H46" s="6" t="n">
        <v>12</v>
      </c>
      <c r="I46" s="7" t="n">
        <f aca="false">H46-G46</f>
        <v>0</v>
      </c>
      <c r="J46" s="6" t="n">
        <v>1</v>
      </c>
      <c r="K46" s="6" t="n">
        <v>11</v>
      </c>
      <c r="L46" s="7" t="n">
        <f aca="false">H46-(J46+K46)</f>
        <v>0</v>
      </c>
    </row>
    <row r="47" customFormat="false" ht="15" hidden="false" customHeight="true" outlineLevel="0" collapsed="false">
      <c r="A47" s="9" t="n">
        <v>28</v>
      </c>
      <c r="B47" s="9" t="s">
        <v>25</v>
      </c>
      <c r="C47" s="9" t="s">
        <v>45</v>
      </c>
      <c r="D47" s="10" t="n">
        <v>267</v>
      </c>
      <c r="E47" s="10" t="n">
        <v>75</v>
      </c>
      <c r="F47" s="10" t="n">
        <v>27</v>
      </c>
      <c r="G47" s="11" t="n">
        <f aca="false">D47+E47-F47</f>
        <v>315</v>
      </c>
      <c r="H47" s="10" t="n">
        <v>315</v>
      </c>
      <c r="I47" s="11" t="n">
        <f aca="false">H47-G47</f>
        <v>0</v>
      </c>
      <c r="J47" s="10" t="n">
        <v>138</v>
      </c>
      <c r="K47" s="10" t="n">
        <v>177</v>
      </c>
      <c r="L47" s="11" t="n">
        <f aca="false">H47-(J47+K47)</f>
        <v>0</v>
      </c>
    </row>
    <row r="48" customFormat="false" ht="15" hidden="false" customHeight="true" outlineLevel="0" collapsed="false">
      <c r="A48" s="5" t="n">
        <v>30</v>
      </c>
      <c r="B48" s="5" t="s">
        <v>26</v>
      </c>
      <c r="C48" s="5" t="s">
        <v>42</v>
      </c>
      <c r="D48" s="6" t="n">
        <v>280</v>
      </c>
      <c r="E48" s="6" t="n">
        <v>60</v>
      </c>
      <c r="F48" s="6" t="n">
        <v>30</v>
      </c>
      <c r="G48" s="7" t="n">
        <f aca="false">D48+E48-F48</f>
        <v>310</v>
      </c>
      <c r="H48" s="6" t="n">
        <v>310</v>
      </c>
      <c r="I48" s="7" t="n">
        <f aca="false">H48-G48</f>
        <v>0</v>
      </c>
      <c r="J48" s="6" t="n">
        <v>140</v>
      </c>
      <c r="K48" s="6" t="n">
        <v>170</v>
      </c>
      <c r="L48" s="7" t="n">
        <f aca="false">H48-(J48+K48)</f>
        <v>0</v>
      </c>
    </row>
    <row r="49" customFormat="false" ht="15" hidden="false" customHeight="true" outlineLevel="0" collapsed="false">
      <c r="A49" s="5" t="n">
        <v>30</v>
      </c>
      <c r="B49" s="5" t="s">
        <v>26</v>
      </c>
      <c r="C49" s="5" t="s">
        <v>43</v>
      </c>
      <c r="D49" s="6" t="n">
        <v>36</v>
      </c>
      <c r="E49" s="6" t="n">
        <v>6</v>
      </c>
      <c r="F49" s="6" t="n">
        <v>0</v>
      </c>
      <c r="G49" s="7" t="n">
        <f aca="false">D49+E49-F49</f>
        <v>42</v>
      </c>
      <c r="H49" s="6" t="n">
        <v>42</v>
      </c>
      <c r="I49" s="7" t="n">
        <f aca="false">H49-G49</f>
        <v>0</v>
      </c>
      <c r="J49" s="6" t="n">
        <v>6</v>
      </c>
      <c r="K49" s="6" t="n">
        <v>36</v>
      </c>
      <c r="L49" s="7" t="n">
        <f aca="false">H49-(J49+K49)</f>
        <v>0</v>
      </c>
    </row>
    <row r="50" customFormat="false" ht="15" hidden="false" customHeight="true" outlineLevel="0" collapsed="false">
      <c r="A50" s="5" t="n">
        <v>30</v>
      </c>
      <c r="B50" s="5" t="s">
        <v>26</v>
      </c>
      <c r="C50" s="5" t="s">
        <v>44</v>
      </c>
      <c r="D50" s="6" t="n">
        <v>11</v>
      </c>
      <c r="E50" s="6" t="n">
        <v>2</v>
      </c>
      <c r="F50" s="6" t="n">
        <v>6</v>
      </c>
      <c r="G50" s="7" t="n">
        <f aca="false">D50+E50-F50</f>
        <v>7</v>
      </c>
      <c r="H50" s="6" t="n">
        <v>7</v>
      </c>
      <c r="I50" s="7" t="n">
        <f aca="false">H50-G50</f>
        <v>0</v>
      </c>
      <c r="J50" s="6" t="n">
        <v>1</v>
      </c>
      <c r="K50" s="6" t="n">
        <v>6</v>
      </c>
      <c r="L50" s="7" t="n">
        <f aca="false">H50-(J50+K50)</f>
        <v>0</v>
      </c>
    </row>
    <row r="51" customFormat="false" ht="15" hidden="false" customHeight="true" outlineLevel="0" collapsed="false">
      <c r="A51" s="9" t="n">
        <v>30</v>
      </c>
      <c r="B51" s="9" t="s">
        <v>26</v>
      </c>
      <c r="C51" s="9" t="s">
        <v>45</v>
      </c>
      <c r="D51" s="10" t="n">
        <v>327</v>
      </c>
      <c r="E51" s="10" t="n">
        <v>68</v>
      </c>
      <c r="F51" s="10" t="n">
        <v>36</v>
      </c>
      <c r="G51" s="11" t="n">
        <f aca="false">D51+E51-F51</f>
        <v>359</v>
      </c>
      <c r="H51" s="10" t="n">
        <v>359</v>
      </c>
      <c r="I51" s="11" t="n">
        <f aca="false">H51-G51</f>
        <v>0</v>
      </c>
      <c r="J51" s="10" t="n">
        <v>147</v>
      </c>
      <c r="K51" s="10" t="n">
        <v>212</v>
      </c>
      <c r="L51" s="11" t="n">
        <f aca="false">H51-(J51+K51)</f>
        <v>0</v>
      </c>
    </row>
    <row r="52" customFormat="false" ht="15" hidden="false" customHeight="true" outlineLevel="0" collapsed="false">
      <c r="A52" s="5" t="n">
        <v>31</v>
      </c>
      <c r="B52" s="5" t="s">
        <v>27</v>
      </c>
      <c r="C52" s="5" t="s">
        <v>42</v>
      </c>
      <c r="D52" s="6" t="n">
        <v>312</v>
      </c>
      <c r="E52" s="6" t="n">
        <v>44</v>
      </c>
      <c r="F52" s="6" t="n">
        <v>43</v>
      </c>
      <c r="G52" s="7" t="n">
        <f aca="false">D52+E52-F52</f>
        <v>313</v>
      </c>
      <c r="H52" s="6" t="n">
        <v>313</v>
      </c>
      <c r="I52" s="7" t="n">
        <f aca="false">H52-G52</f>
        <v>0</v>
      </c>
      <c r="J52" s="6" t="n">
        <v>140</v>
      </c>
      <c r="K52" s="6" t="n">
        <v>173</v>
      </c>
      <c r="L52" s="7" t="n">
        <f aca="false">H52-(J52+K52)</f>
        <v>0</v>
      </c>
    </row>
    <row r="53" customFormat="false" ht="15" hidden="false" customHeight="true" outlineLevel="0" collapsed="false">
      <c r="A53" s="5" t="n">
        <v>31</v>
      </c>
      <c r="B53" s="5" t="s">
        <v>27</v>
      </c>
      <c r="C53" s="5" t="s">
        <v>43</v>
      </c>
      <c r="D53" s="6" t="n">
        <v>42</v>
      </c>
      <c r="E53" s="6" t="n">
        <v>8</v>
      </c>
      <c r="F53" s="6" t="n">
        <v>6</v>
      </c>
      <c r="G53" s="7" t="n">
        <f aca="false">D53+E53-F53</f>
        <v>44</v>
      </c>
      <c r="H53" s="6" t="n">
        <v>44</v>
      </c>
      <c r="I53" s="7" t="n">
        <f aca="false">H53-G53</f>
        <v>0</v>
      </c>
      <c r="J53" s="6" t="n">
        <v>14</v>
      </c>
      <c r="K53" s="6" t="n">
        <v>30</v>
      </c>
      <c r="L53" s="7" t="n">
        <f aca="false">H53-(J53+K53)</f>
        <v>0</v>
      </c>
    </row>
    <row r="54" customFormat="false" ht="15" hidden="false" customHeight="true" outlineLevel="0" collapsed="false">
      <c r="A54" s="5" t="n">
        <v>31</v>
      </c>
      <c r="B54" s="5" t="s">
        <v>27</v>
      </c>
      <c r="C54" s="5" t="s">
        <v>44</v>
      </c>
      <c r="D54" s="6" t="n">
        <v>7</v>
      </c>
      <c r="E54" s="6" t="n">
        <v>2</v>
      </c>
      <c r="F54" s="6" t="n">
        <v>3</v>
      </c>
      <c r="G54" s="7" t="n">
        <f aca="false">D54+E54-F54</f>
        <v>6</v>
      </c>
      <c r="H54" s="6" t="n">
        <v>6</v>
      </c>
      <c r="I54" s="7" t="n">
        <f aca="false">H54-G54</f>
        <v>0</v>
      </c>
      <c r="J54" s="6" t="n">
        <v>1</v>
      </c>
      <c r="K54" s="6" t="n">
        <v>5</v>
      </c>
      <c r="L54" s="7" t="n">
        <f aca="false">H54-(J54+K54)</f>
        <v>0</v>
      </c>
    </row>
    <row r="55" customFormat="false" ht="15" hidden="false" customHeight="true" outlineLevel="0" collapsed="false">
      <c r="A55" s="9" t="n">
        <v>31</v>
      </c>
      <c r="B55" s="9" t="s">
        <v>27</v>
      </c>
      <c r="C55" s="9" t="s">
        <v>45</v>
      </c>
      <c r="D55" s="10" t="n">
        <v>361</v>
      </c>
      <c r="E55" s="10" t="n">
        <v>54</v>
      </c>
      <c r="F55" s="10" t="n">
        <v>52</v>
      </c>
      <c r="G55" s="11" t="n">
        <f aca="false">D55+E55-F55</f>
        <v>363</v>
      </c>
      <c r="H55" s="10" t="n">
        <v>363</v>
      </c>
      <c r="I55" s="11" t="n">
        <f aca="false">H55-G55</f>
        <v>0</v>
      </c>
      <c r="J55" s="10" t="n">
        <v>155</v>
      </c>
      <c r="K55" s="10" t="n">
        <v>208</v>
      </c>
      <c r="L55" s="11" t="n">
        <f aca="false">H55-(J55+K55)</f>
        <v>0</v>
      </c>
    </row>
    <row r="56" customFormat="false" ht="15" hidden="false" customHeight="true" outlineLevel="0" collapsed="false">
      <c r="A56" s="5" t="n">
        <v>32</v>
      </c>
      <c r="B56" s="5" t="s">
        <v>28</v>
      </c>
      <c r="C56" s="5" t="s">
        <v>42</v>
      </c>
      <c r="D56" s="6" t="n">
        <v>312</v>
      </c>
      <c r="E56" s="6" t="n">
        <v>47</v>
      </c>
      <c r="F56" s="6" t="n">
        <v>38</v>
      </c>
      <c r="G56" s="7" t="n">
        <f aca="false">D56+E56-F56</f>
        <v>321</v>
      </c>
      <c r="H56" s="6" t="n">
        <v>321</v>
      </c>
      <c r="I56" s="7" t="n">
        <f aca="false">H56-G56</f>
        <v>0</v>
      </c>
      <c r="J56" s="6" t="n">
        <v>152</v>
      </c>
      <c r="K56" s="6" t="n">
        <v>169</v>
      </c>
      <c r="L56" s="7" t="n">
        <f aca="false">H56-(J56+K56)</f>
        <v>0</v>
      </c>
    </row>
    <row r="57" customFormat="false" ht="15" hidden="false" customHeight="true" outlineLevel="0" collapsed="false">
      <c r="A57" s="5" t="n">
        <v>32</v>
      </c>
      <c r="B57" s="5" t="s">
        <v>28</v>
      </c>
      <c r="C57" s="5" t="s">
        <v>43</v>
      </c>
      <c r="D57" s="6" t="n">
        <v>44</v>
      </c>
      <c r="E57" s="6" t="n">
        <v>7</v>
      </c>
      <c r="F57" s="6" t="n">
        <v>6</v>
      </c>
      <c r="G57" s="7" t="n">
        <f aca="false">D57+E57-F57</f>
        <v>45</v>
      </c>
      <c r="H57" s="6" t="n">
        <v>45</v>
      </c>
      <c r="I57" s="7" t="n">
        <f aca="false">H57-G57</f>
        <v>0</v>
      </c>
      <c r="J57" s="6" t="n">
        <v>15</v>
      </c>
      <c r="K57" s="6" t="n">
        <v>30</v>
      </c>
      <c r="L57" s="7" t="n">
        <f aca="false">H57-(J57+K57)</f>
        <v>0</v>
      </c>
    </row>
    <row r="58" customFormat="false" ht="15" hidden="false" customHeight="true" outlineLevel="0" collapsed="false">
      <c r="A58" s="5" t="n">
        <v>32</v>
      </c>
      <c r="B58" s="5" t="s">
        <v>28</v>
      </c>
      <c r="C58" s="5" t="s">
        <v>44</v>
      </c>
      <c r="D58" s="6" t="n">
        <v>6</v>
      </c>
      <c r="E58" s="6" t="n">
        <v>7</v>
      </c>
      <c r="F58" s="6" t="n">
        <v>3</v>
      </c>
      <c r="G58" s="7" t="n">
        <f aca="false">D58+E58-F58</f>
        <v>10</v>
      </c>
      <c r="H58" s="6" t="n">
        <v>10</v>
      </c>
      <c r="I58" s="7" t="n">
        <f aca="false">H58-G58</f>
        <v>0</v>
      </c>
      <c r="J58" s="6" t="n">
        <v>1</v>
      </c>
      <c r="K58" s="6" t="n">
        <v>9</v>
      </c>
      <c r="L58" s="7" t="n">
        <f aca="false">H58-(J58+K58)</f>
        <v>0</v>
      </c>
    </row>
    <row r="59" customFormat="false" ht="15" hidden="false" customHeight="true" outlineLevel="0" collapsed="false">
      <c r="A59" s="9" t="n">
        <v>32</v>
      </c>
      <c r="B59" s="9" t="s">
        <v>28</v>
      </c>
      <c r="C59" s="9" t="s">
        <v>45</v>
      </c>
      <c r="D59" s="10" t="n">
        <v>362</v>
      </c>
      <c r="E59" s="10" t="n">
        <v>61</v>
      </c>
      <c r="F59" s="10" t="n">
        <v>47</v>
      </c>
      <c r="G59" s="11" t="n">
        <f aca="false">D59+E59-F59</f>
        <v>376</v>
      </c>
      <c r="H59" s="10" t="n">
        <v>376</v>
      </c>
      <c r="I59" s="11" t="n">
        <f aca="false">H59-G59</f>
        <v>0</v>
      </c>
      <c r="J59" s="10" t="n">
        <v>168</v>
      </c>
      <c r="K59" s="10" t="n">
        <v>208</v>
      </c>
      <c r="L59" s="11" t="n">
        <f aca="false">H59-(J59+K59)</f>
        <v>0</v>
      </c>
    </row>
    <row r="60" customFormat="false" ht="15" hidden="false" customHeight="true" outlineLevel="0" collapsed="false">
      <c r="A60" s="5" t="n">
        <v>33</v>
      </c>
      <c r="B60" s="5" t="s">
        <v>29</v>
      </c>
      <c r="C60" s="5" t="s">
        <v>42</v>
      </c>
      <c r="D60" s="6" t="n">
        <v>321</v>
      </c>
      <c r="E60" s="6" t="n">
        <v>47</v>
      </c>
      <c r="F60" s="6" t="n">
        <v>50</v>
      </c>
      <c r="G60" s="7" t="n">
        <f aca="false">D60+E60-F60</f>
        <v>318</v>
      </c>
      <c r="H60" s="6" t="n">
        <v>318</v>
      </c>
      <c r="I60" s="7" t="n">
        <f aca="false">H60-G60</f>
        <v>0</v>
      </c>
      <c r="J60" s="6" t="n">
        <v>138</v>
      </c>
      <c r="K60" s="6" t="n">
        <v>180</v>
      </c>
      <c r="L60" s="7" t="n">
        <f aca="false">H60-(J60+K60)</f>
        <v>0</v>
      </c>
    </row>
    <row r="61" customFormat="false" ht="15" hidden="false" customHeight="true" outlineLevel="0" collapsed="false">
      <c r="A61" s="5" t="n">
        <v>33</v>
      </c>
      <c r="B61" s="5" t="s">
        <v>29</v>
      </c>
      <c r="C61" s="5" t="s">
        <v>43</v>
      </c>
      <c r="D61" s="6" t="n">
        <v>45</v>
      </c>
      <c r="E61" s="6" t="n">
        <v>11</v>
      </c>
      <c r="F61" s="6" t="n">
        <v>10</v>
      </c>
      <c r="G61" s="7" t="n">
        <f aca="false">D61+E61-F61</f>
        <v>46</v>
      </c>
      <c r="H61" s="6" t="n">
        <v>46</v>
      </c>
      <c r="I61" s="7" t="n">
        <f aca="false">H61-G61</f>
        <v>0</v>
      </c>
      <c r="J61" s="6" t="n">
        <v>13</v>
      </c>
      <c r="K61" s="6" t="n">
        <v>33</v>
      </c>
      <c r="L61" s="7" t="n">
        <f aca="false">H61-(J61+K61)</f>
        <v>0</v>
      </c>
    </row>
    <row r="62" customFormat="false" ht="15" hidden="false" customHeight="true" outlineLevel="0" collapsed="false">
      <c r="A62" s="5" t="n">
        <v>33</v>
      </c>
      <c r="B62" s="5" t="s">
        <v>29</v>
      </c>
      <c r="C62" s="5" t="s">
        <v>44</v>
      </c>
      <c r="D62" s="6" t="n">
        <v>10</v>
      </c>
      <c r="E62" s="6" t="n">
        <v>9</v>
      </c>
      <c r="F62" s="6" t="n">
        <v>4</v>
      </c>
      <c r="G62" s="7" t="n">
        <f aca="false">D62+E62-F62</f>
        <v>15</v>
      </c>
      <c r="H62" s="6" t="n">
        <v>15</v>
      </c>
      <c r="I62" s="7" t="n">
        <f aca="false">H62-G62</f>
        <v>0</v>
      </c>
      <c r="J62" s="6" t="n">
        <v>1</v>
      </c>
      <c r="K62" s="6" t="n">
        <v>14</v>
      </c>
      <c r="L62" s="7" t="n">
        <f aca="false">H62-(J62+K62)</f>
        <v>0</v>
      </c>
    </row>
    <row r="63" customFormat="false" ht="15" hidden="false" customHeight="true" outlineLevel="0" collapsed="false">
      <c r="A63" s="9" t="n">
        <v>33</v>
      </c>
      <c r="B63" s="9" t="s">
        <v>29</v>
      </c>
      <c r="C63" s="9" t="s">
        <v>45</v>
      </c>
      <c r="D63" s="10" t="n">
        <v>376</v>
      </c>
      <c r="E63" s="10" t="n">
        <v>67</v>
      </c>
      <c r="F63" s="10" t="n">
        <v>64</v>
      </c>
      <c r="G63" s="11" t="n">
        <f aca="false">D63+E63-F63</f>
        <v>379</v>
      </c>
      <c r="H63" s="10" t="n">
        <v>379</v>
      </c>
      <c r="I63" s="11" t="n">
        <f aca="false">H63-G63</f>
        <v>0</v>
      </c>
      <c r="J63" s="10" t="n">
        <v>152</v>
      </c>
      <c r="K63" s="10" t="n">
        <v>227</v>
      </c>
      <c r="L63" s="11" t="n">
        <f aca="false">H63-(J63+K63)</f>
        <v>0</v>
      </c>
    </row>
    <row r="64" customFormat="false" ht="15" hidden="false" customHeight="true" outlineLevel="0" collapsed="false">
      <c r="A64" s="5" t="n">
        <v>34</v>
      </c>
      <c r="B64" s="5" t="s">
        <v>30</v>
      </c>
      <c r="C64" s="5" t="s">
        <v>42</v>
      </c>
      <c r="D64" s="6" t="n">
        <v>310</v>
      </c>
      <c r="E64" s="6" t="n">
        <v>61</v>
      </c>
      <c r="F64" s="6" t="n">
        <v>36</v>
      </c>
      <c r="G64" s="7" t="n">
        <f aca="false">D64+E64-F64</f>
        <v>335</v>
      </c>
      <c r="H64" s="6" t="n">
        <v>335</v>
      </c>
      <c r="I64" s="7" t="n">
        <f aca="false">H64-G64</f>
        <v>0</v>
      </c>
      <c r="J64" s="6" t="n">
        <v>143</v>
      </c>
      <c r="K64" s="6" t="n">
        <v>192</v>
      </c>
      <c r="L64" s="7" t="n">
        <f aca="false">H64-(J64+K64)</f>
        <v>0</v>
      </c>
    </row>
    <row r="65" customFormat="false" ht="15" hidden="false" customHeight="true" outlineLevel="0" collapsed="false">
      <c r="A65" s="5" t="n">
        <v>34</v>
      </c>
      <c r="B65" s="5" t="s">
        <v>30</v>
      </c>
      <c r="C65" s="5" t="s">
        <v>43</v>
      </c>
      <c r="D65" s="6" t="n">
        <v>46</v>
      </c>
      <c r="E65" s="6" t="n">
        <v>6</v>
      </c>
      <c r="F65" s="6" t="n">
        <v>4</v>
      </c>
      <c r="G65" s="7" t="n">
        <f aca="false">D65+E65-F65</f>
        <v>48</v>
      </c>
      <c r="H65" s="6" t="n">
        <v>48</v>
      </c>
      <c r="I65" s="7" t="n">
        <f aca="false">H65-G65</f>
        <v>0</v>
      </c>
      <c r="J65" s="6" t="n">
        <v>18</v>
      </c>
      <c r="K65" s="6" t="n">
        <v>30</v>
      </c>
      <c r="L65" s="7" t="n">
        <f aca="false">H65-(J65+K65)</f>
        <v>0</v>
      </c>
    </row>
    <row r="66" customFormat="false" ht="15" hidden="false" customHeight="true" outlineLevel="0" collapsed="false">
      <c r="A66" s="5" t="n">
        <v>34</v>
      </c>
      <c r="B66" s="5" t="s">
        <v>30</v>
      </c>
      <c r="C66" s="5" t="s">
        <v>44</v>
      </c>
      <c r="D66" s="6"/>
      <c r="E66" s="6"/>
      <c r="F66" s="6"/>
      <c r="G66" s="7" t="n">
        <f aca="false">D66+E66-F66</f>
        <v>0</v>
      </c>
      <c r="H66" s="6"/>
      <c r="I66" s="7" t="n">
        <f aca="false">H66-G66</f>
        <v>0</v>
      </c>
      <c r="J66" s="6"/>
      <c r="K66" s="6"/>
      <c r="L66" s="7" t="n">
        <f aca="false">H66-(J66+K66)</f>
        <v>0</v>
      </c>
    </row>
    <row r="67" customFormat="false" ht="15" hidden="false" customHeight="true" outlineLevel="0" collapsed="false">
      <c r="A67" s="9" t="n">
        <v>34</v>
      </c>
      <c r="B67" s="9" t="s">
        <v>30</v>
      </c>
      <c r="C67" s="9" t="s">
        <v>45</v>
      </c>
      <c r="D67" s="10" t="n">
        <v>356</v>
      </c>
      <c r="E67" s="10" t="n">
        <v>67</v>
      </c>
      <c r="F67" s="10" t="n">
        <v>40</v>
      </c>
      <c r="G67" s="11" t="n">
        <f aca="false">D67+E67-F67</f>
        <v>383</v>
      </c>
      <c r="H67" s="10" t="n">
        <v>383</v>
      </c>
      <c r="I67" s="11" t="n">
        <f aca="false">H67-G67</f>
        <v>0</v>
      </c>
      <c r="J67" s="10" t="n">
        <v>161</v>
      </c>
      <c r="K67" s="10" t="n">
        <v>222</v>
      </c>
      <c r="L67" s="11" t="n">
        <f aca="false">H67-(J67+K67)</f>
        <v>0</v>
      </c>
    </row>
    <row r="68" customFormat="false" ht="15" hidden="false" customHeight="true" outlineLevel="0" collapsed="false">
      <c r="A68" s="5" t="n">
        <v>36</v>
      </c>
      <c r="B68" s="5" t="s">
        <v>31</v>
      </c>
      <c r="C68" s="5" t="s">
        <v>42</v>
      </c>
      <c r="D68" s="6" t="n">
        <v>286</v>
      </c>
      <c r="E68" s="6" t="n">
        <v>59</v>
      </c>
      <c r="F68" s="6" t="n">
        <v>38</v>
      </c>
      <c r="G68" s="7" t="n">
        <f aca="false">D68+E68-F68</f>
        <v>307</v>
      </c>
      <c r="H68" s="6" t="n">
        <v>307</v>
      </c>
      <c r="I68" s="7" t="n">
        <f aca="false">H68-G68</f>
        <v>0</v>
      </c>
      <c r="J68" s="6" t="n">
        <v>124</v>
      </c>
      <c r="K68" s="6" t="n">
        <v>183</v>
      </c>
      <c r="L68" s="7" t="n">
        <f aca="false">H68-(J68+K68)</f>
        <v>0</v>
      </c>
    </row>
    <row r="69" customFormat="false" ht="15" hidden="false" customHeight="true" outlineLevel="0" collapsed="false">
      <c r="A69" s="5" t="n">
        <v>36</v>
      </c>
      <c r="B69" s="5" t="s">
        <v>31</v>
      </c>
      <c r="C69" s="5" t="s">
        <v>43</v>
      </c>
      <c r="D69" s="6" t="n">
        <v>56</v>
      </c>
      <c r="E69" s="6" t="n">
        <v>6</v>
      </c>
      <c r="F69" s="6" t="n">
        <v>8</v>
      </c>
      <c r="G69" s="7" t="n">
        <f aca="false">D69+E69-F69</f>
        <v>54</v>
      </c>
      <c r="H69" s="6" t="n">
        <v>54</v>
      </c>
      <c r="I69" s="7" t="n">
        <f aca="false">H69-G69</f>
        <v>0</v>
      </c>
      <c r="J69" s="6" t="n">
        <v>24</v>
      </c>
      <c r="K69" s="6" t="n">
        <v>30</v>
      </c>
      <c r="L69" s="7" t="n">
        <f aca="false">H69-(J69+K69)</f>
        <v>0</v>
      </c>
    </row>
    <row r="70" customFormat="false" ht="15" hidden="false" customHeight="true" outlineLevel="0" collapsed="false">
      <c r="A70" s="5" t="n">
        <v>36</v>
      </c>
      <c r="B70" s="5" t="s">
        <v>31</v>
      </c>
      <c r="C70" s="5" t="s">
        <v>44</v>
      </c>
      <c r="D70" s="6"/>
      <c r="E70" s="6"/>
      <c r="F70" s="6"/>
      <c r="G70" s="7" t="n">
        <f aca="false">D70+E70-F70</f>
        <v>0</v>
      </c>
      <c r="H70" s="6"/>
      <c r="I70" s="7" t="n">
        <f aca="false">H70-G70</f>
        <v>0</v>
      </c>
      <c r="J70" s="6"/>
      <c r="K70" s="6"/>
      <c r="L70" s="7" t="n">
        <f aca="false">H70-(J70+K70)</f>
        <v>0</v>
      </c>
    </row>
    <row r="71" customFormat="false" ht="15" hidden="false" customHeight="true" outlineLevel="0" collapsed="false">
      <c r="A71" s="9" t="n">
        <v>36</v>
      </c>
      <c r="B71" s="9" t="s">
        <v>31</v>
      </c>
      <c r="C71" s="9" t="s">
        <v>45</v>
      </c>
      <c r="D71" s="10" t="n">
        <v>342</v>
      </c>
      <c r="E71" s="10" t="n">
        <v>65</v>
      </c>
      <c r="F71" s="10" t="n">
        <v>46</v>
      </c>
      <c r="G71" s="11" t="n">
        <f aca="false">D71+E71-F71</f>
        <v>361</v>
      </c>
      <c r="H71" s="10" t="n">
        <v>361</v>
      </c>
      <c r="I71" s="11" t="n">
        <f aca="false">H71-G71</f>
        <v>0</v>
      </c>
      <c r="J71" s="10" t="n">
        <v>148</v>
      </c>
      <c r="K71" s="10" t="n">
        <v>213</v>
      </c>
      <c r="L71" s="11" t="n">
        <f aca="false">H71-(J71+K71)</f>
        <v>0</v>
      </c>
    </row>
    <row r="72" customFormat="false" ht="15" hidden="false" customHeight="true" outlineLevel="0" collapsed="false">
      <c r="A72" s="5" t="n">
        <v>37</v>
      </c>
      <c r="B72" s="5" t="s">
        <v>32</v>
      </c>
      <c r="C72" s="5" t="s">
        <v>42</v>
      </c>
      <c r="D72" s="6" t="n">
        <v>307</v>
      </c>
      <c r="E72" s="6" t="n">
        <v>62</v>
      </c>
      <c r="F72" s="6" t="n">
        <v>67</v>
      </c>
      <c r="G72" s="7" t="n">
        <f aca="false">D72+E72-F72</f>
        <v>302</v>
      </c>
      <c r="H72" s="6" t="n">
        <v>302</v>
      </c>
      <c r="I72" s="7" t="n">
        <f aca="false">H72-G72</f>
        <v>0</v>
      </c>
      <c r="J72" s="6" t="n">
        <v>139</v>
      </c>
      <c r="K72" s="6" t="n">
        <v>163</v>
      </c>
      <c r="L72" s="7" t="n">
        <f aca="false">H72-(J72+K72)</f>
        <v>0</v>
      </c>
    </row>
    <row r="73" customFormat="false" ht="15" hidden="false" customHeight="true" outlineLevel="0" collapsed="false">
      <c r="A73" s="5" t="n">
        <v>37</v>
      </c>
      <c r="B73" s="5" t="s">
        <v>32</v>
      </c>
      <c r="C73" s="5" t="s">
        <v>43</v>
      </c>
      <c r="D73" s="6" t="n">
        <v>54</v>
      </c>
      <c r="E73" s="6" t="n">
        <v>4</v>
      </c>
      <c r="F73" s="6" t="n">
        <v>6</v>
      </c>
      <c r="G73" s="7" t="n">
        <f aca="false">D73+E73-F73</f>
        <v>52</v>
      </c>
      <c r="H73" s="6" t="n">
        <v>52</v>
      </c>
      <c r="I73" s="7" t="n">
        <f aca="false">H73-G73</f>
        <v>0</v>
      </c>
      <c r="J73" s="6" t="n">
        <v>24</v>
      </c>
      <c r="K73" s="6" t="n">
        <v>28</v>
      </c>
      <c r="L73" s="7" t="n">
        <f aca="false">H73-(J73+K73)</f>
        <v>0</v>
      </c>
    </row>
    <row r="74" customFormat="false" ht="15" hidden="false" customHeight="true" outlineLevel="0" collapsed="false">
      <c r="A74" s="5" t="n">
        <v>37</v>
      </c>
      <c r="B74" s="5" t="s">
        <v>32</v>
      </c>
      <c r="C74" s="5" t="s">
        <v>44</v>
      </c>
      <c r="D74" s="6" t="n">
        <v>12</v>
      </c>
      <c r="E74" s="6" t="n">
        <v>1</v>
      </c>
      <c r="F74" s="6" t="n">
        <v>2</v>
      </c>
      <c r="G74" s="7" t="n">
        <f aca="false">D74+E74-F74</f>
        <v>11</v>
      </c>
      <c r="H74" s="6" t="n">
        <v>11</v>
      </c>
      <c r="I74" s="7" t="n">
        <f aca="false">H74-G74</f>
        <v>0</v>
      </c>
      <c r="J74" s="6" t="n">
        <v>0</v>
      </c>
      <c r="K74" s="6" t="n">
        <v>11</v>
      </c>
      <c r="L74" s="7" t="n">
        <f aca="false">H74-(J74+K74)</f>
        <v>0</v>
      </c>
    </row>
    <row r="75" customFormat="false" ht="15" hidden="false" customHeight="true" outlineLevel="0" collapsed="false">
      <c r="A75" s="9" t="n">
        <v>37</v>
      </c>
      <c r="B75" s="9" t="s">
        <v>32</v>
      </c>
      <c r="C75" s="9" t="s">
        <v>45</v>
      </c>
      <c r="D75" s="10" t="n">
        <v>373</v>
      </c>
      <c r="E75" s="10" t="n">
        <v>67</v>
      </c>
      <c r="F75" s="10" t="n">
        <v>75</v>
      </c>
      <c r="G75" s="11" t="n">
        <f aca="false">D75+E75-F75</f>
        <v>365</v>
      </c>
      <c r="H75" s="10" t="n">
        <v>365</v>
      </c>
      <c r="I75" s="11" t="n">
        <f aca="false">H75-G75</f>
        <v>0</v>
      </c>
      <c r="J75" s="10" t="n">
        <v>163</v>
      </c>
      <c r="K75" s="10" t="n">
        <v>202</v>
      </c>
      <c r="L75" s="11" t="n">
        <f aca="false">H75-(J75+K75)</f>
        <v>0</v>
      </c>
    </row>
    <row r="76" customFormat="false" ht="15" hidden="false" customHeight="true" outlineLevel="0" collapsed="false">
      <c r="A76" s="5" t="n">
        <v>38</v>
      </c>
      <c r="B76" s="5" t="s">
        <v>33</v>
      </c>
      <c r="C76" s="5" t="s">
        <v>42</v>
      </c>
      <c r="D76" s="6" t="n">
        <v>294</v>
      </c>
      <c r="E76" s="6" t="n">
        <v>60</v>
      </c>
      <c r="F76" s="6" t="n">
        <v>56</v>
      </c>
      <c r="G76" s="7" t="n">
        <f aca="false">D76+E76-F76</f>
        <v>298</v>
      </c>
      <c r="H76" s="6" t="n">
        <v>298</v>
      </c>
      <c r="I76" s="7" t="n">
        <f aca="false">H76-G76</f>
        <v>0</v>
      </c>
      <c r="J76" s="6" t="n">
        <v>169</v>
      </c>
      <c r="K76" s="6" t="n">
        <v>129</v>
      </c>
      <c r="L76" s="7" t="n">
        <f aca="false">H76-(J76+K76)</f>
        <v>0</v>
      </c>
    </row>
    <row r="77" customFormat="false" ht="15" hidden="false" customHeight="true" outlineLevel="0" collapsed="false">
      <c r="A77" s="5" t="n">
        <v>38</v>
      </c>
      <c r="B77" s="5" t="s">
        <v>33</v>
      </c>
      <c r="C77" s="5" t="s">
        <v>43</v>
      </c>
      <c r="D77" s="6" t="n">
        <v>59</v>
      </c>
      <c r="E77" s="6" t="n">
        <v>7</v>
      </c>
      <c r="F77" s="6" t="n">
        <v>3</v>
      </c>
      <c r="G77" s="7" t="n">
        <f aca="false">D77+E77-F77</f>
        <v>63</v>
      </c>
      <c r="H77" s="6" t="n">
        <v>63</v>
      </c>
      <c r="I77" s="7" t="n">
        <f aca="false">H77-G77</f>
        <v>0</v>
      </c>
      <c r="J77" s="6" t="n">
        <v>27</v>
      </c>
      <c r="K77" s="6" t="n">
        <v>36</v>
      </c>
      <c r="L77" s="7" t="n">
        <f aca="false">H77-(J77+K77)</f>
        <v>0</v>
      </c>
    </row>
    <row r="78" customFormat="false" ht="15" hidden="false" customHeight="true" outlineLevel="0" collapsed="false">
      <c r="A78" s="5" t="n">
        <v>38</v>
      </c>
      <c r="B78" s="5" t="s">
        <v>33</v>
      </c>
      <c r="C78" s="5" t="s">
        <v>44</v>
      </c>
      <c r="D78" s="6" t="n">
        <v>7</v>
      </c>
      <c r="E78" s="6" t="n">
        <v>3</v>
      </c>
      <c r="F78" s="6" t="n">
        <v>0</v>
      </c>
      <c r="G78" s="7" t="n">
        <f aca="false">D78+E78-F78</f>
        <v>10</v>
      </c>
      <c r="H78" s="6" t="n">
        <v>10</v>
      </c>
      <c r="I78" s="7" t="n">
        <f aca="false">H78-G78</f>
        <v>0</v>
      </c>
      <c r="J78" s="6" t="n">
        <v>0</v>
      </c>
      <c r="K78" s="6" t="n">
        <v>10</v>
      </c>
      <c r="L78" s="7" t="n">
        <f aca="false">H78-(J78+K78)</f>
        <v>0</v>
      </c>
    </row>
    <row r="79" customFormat="false" ht="15" hidden="false" customHeight="true" outlineLevel="0" collapsed="false">
      <c r="A79" s="9" t="n">
        <v>38</v>
      </c>
      <c r="B79" s="9" t="s">
        <v>33</v>
      </c>
      <c r="C79" s="9" t="s">
        <v>45</v>
      </c>
      <c r="D79" s="10" t="n">
        <v>360</v>
      </c>
      <c r="E79" s="10" t="n">
        <v>70</v>
      </c>
      <c r="F79" s="10" t="n">
        <v>59</v>
      </c>
      <c r="G79" s="11" t="n">
        <f aca="false">D79+E79-F79</f>
        <v>371</v>
      </c>
      <c r="H79" s="10" t="n">
        <v>371</v>
      </c>
      <c r="I79" s="11" t="n">
        <f aca="false">H79-G79</f>
        <v>0</v>
      </c>
      <c r="J79" s="10" t="n">
        <v>196</v>
      </c>
      <c r="K79" s="10" t="n">
        <v>175</v>
      </c>
      <c r="L79" s="11" t="n">
        <f aca="false">H79-(J79+K79)</f>
        <v>0</v>
      </c>
    </row>
    <row r="80" customFormat="false" ht="15" hidden="false" customHeight="true" outlineLevel="0" collapsed="false">
      <c r="A80" s="5" t="n">
        <v>39</v>
      </c>
      <c r="B80" s="5" t="s">
        <v>34</v>
      </c>
      <c r="C80" s="5" t="s">
        <v>42</v>
      </c>
      <c r="D80" s="6" t="n">
        <v>298</v>
      </c>
      <c r="E80" s="6" t="n">
        <v>57</v>
      </c>
      <c r="F80" s="6" t="n">
        <v>34</v>
      </c>
      <c r="G80" s="7" t="n">
        <f aca="false">D80+E80-F80</f>
        <v>321</v>
      </c>
      <c r="H80" s="6" t="n">
        <v>321</v>
      </c>
      <c r="I80" s="7" t="n">
        <f aca="false">H80-G80</f>
        <v>0</v>
      </c>
      <c r="J80" s="6" t="n">
        <v>173</v>
      </c>
      <c r="K80" s="6" t="n">
        <v>148</v>
      </c>
      <c r="L80" s="7" t="n">
        <f aca="false">H80-(J80+K80)</f>
        <v>0</v>
      </c>
    </row>
    <row r="81" customFormat="false" ht="15" hidden="false" customHeight="true" outlineLevel="0" collapsed="false">
      <c r="A81" s="5" t="n">
        <v>39</v>
      </c>
      <c r="B81" s="5" t="s">
        <v>34</v>
      </c>
      <c r="C81" s="5" t="s">
        <v>43</v>
      </c>
      <c r="D81" s="6" t="n">
        <v>27</v>
      </c>
      <c r="E81" s="6" t="n">
        <v>36</v>
      </c>
      <c r="F81" s="6" t="n">
        <v>7</v>
      </c>
      <c r="G81" s="7" t="n">
        <f aca="false">D81+E81-F81</f>
        <v>56</v>
      </c>
      <c r="H81" s="6" t="n">
        <v>56</v>
      </c>
      <c r="I81" s="7" t="n">
        <f aca="false">H81-G81</f>
        <v>0</v>
      </c>
      <c r="J81" s="6" t="n">
        <v>17</v>
      </c>
      <c r="K81" s="6" t="n">
        <v>39</v>
      </c>
      <c r="L81" s="7" t="n">
        <f aca="false">H81-(J81+K81)</f>
        <v>0</v>
      </c>
    </row>
    <row r="82" customFormat="false" ht="15" hidden="false" customHeight="true" outlineLevel="0" collapsed="false">
      <c r="A82" s="5" t="n">
        <v>39</v>
      </c>
      <c r="B82" s="5" t="s">
        <v>34</v>
      </c>
      <c r="C82" s="5" t="s">
        <v>44</v>
      </c>
      <c r="D82" s="6" t="n">
        <v>10</v>
      </c>
      <c r="E82" s="6" t="n">
        <v>0</v>
      </c>
      <c r="F82" s="6" t="n">
        <v>0</v>
      </c>
      <c r="G82" s="7" t="n">
        <f aca="false">D82+E82-F82</f>
        <v>10</v>
      </c>
      <c r="H82" s="6" t="n">
        <v>10</v>
      </c>
      <c r="I82" s="7" t="n">
        <f aca="false">H82-G82</f>
        <v>0</v>
      </c>
      <c r="J82" s="6" t="n">
        <v>0</v>
      </c>
      <c r="K82" s="6" t="n">
        <v>10</v>
      </c>
      <c r="L82" s="7" t="n">
        <f aca="false">H82-(J82+K82)</f>
        <v>0</v>
      </c>
    </row>
    <row r="83" customFormat="false" ht="15" hidden="false" customHeight="true" outlineLevel="0" collapsed="false">
      <c r="A83" s="9" t="n">
        <v>39</v>
      </c>
      <c r="B83" s="9" t="s">
        <v>34</v>
      </c>
      <c r="C83" s="9" t="s">
        <v>45</v>
      </c>
      <c r="D83" s="10" t="n">
        <v>335</v>
      </c>
      <c r="E83" s="10" t="n">
        <v>93</v>
      </c>
      <c r="F83" s="10" t="n">
        <v>41</v>
      </c>
      <c r="G83" s="11" t="n">
        <f aca="false">D83+E83-F83</f>
        <v>387</v>
      </c>
      <c r="H83" s="10" t="n">
        <v>387</v>
      </c>
      <c r="I83" s="11" t="n">
        <f aca="false">H83-G83</f>
        <v>0</v>
      </c>
      <c r="J83" s="10" t="n">
        <v>190</v>
      </c>
      <c r="K83" s="10" t="n">
        <v>197</v>
      </c>
      <c r="L83" s="11" t="n">
        <f aca="false">H83-(J83+K83)</f>
        <v>0</v>
      </c>
    </row>
  </sheetData>
  <conditionalFormatting sqref="I4:I83">
    <cfRule type="cellIs" priority="2" operator="notEqual" aboveAverage="0" equalAverage="0" bottom="0" percent="0" rank="0" text="" dxfId="0">
      <formula>0</formula>
    </cfRule>
  </conditionalFormatting>
  <conditionalFormatting sqref="L4:L83">
    <cfRule type="cellIs" priority="3" operator="not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15" hidden="false" customHeight="true" outlineLevel="0" collapsed="false">
      <c r="A1" s="12" t="s">
        <v>46</v>
      </c>
    </row>
    <row r="2" customFormat="false" ht="34.5" hidden="false" customHeight="true" outlineLevel="0" collapsed="false">
      <c r="A2" s="13" t="s">
        <v>47</v>
      </c>
    </row>
    <row r="3" customFormat="false" ht="15" hidden="false" customHeight="true" outlineLevel="0" collapsed="false">
      <c r="A3" s="13"/>
    </row>
    <row r="4" customFormat="false" ht="15" hidden="false" customHeight="true" outlineLevel="0" collapsed="false">
      <c r="A4" s="12" t="s">
        <v>48</v>
      </c>
    </row>
    <row r="5" customFormat="false" ht="34.5" hidden="false" customHeight="true" outlineLevel="0" collapsed="false">
      <c r="A5" s="13" t="s">
        <v>49</v>
      </c>
    </row>
    <row r="6" customFormat="false" ht="15" hidden="false" customHeight="true" outlineLevel="0" collapsed="false">
      <c r="A6" s="13" t="s">
        <v>50</v>
      </c>
    </row>
    <row r="7" customFormat="false" ht="15" hidden="false" customHeight="true" outlineLevel="0" collapsed="false">
      <c r="A7" s="13" t="s">
        <v>51</v>
      </c>
    </row>
    <row r="8" customFormat="false" ht="15" hidden="false" customHeight="true" outlineLevel="0" collapsed="false">
      <c r="A8" s="13"/>
    </row>
    <row r="9" customFormat="false" ht="15" hidden="false" customHeight="true" outlineLevel="0" collapsed="false">
      <c r="A9" s="12" t="s">
        <v>52</v>
      </c>
    </row>
    <row r="10" customFormat="false" ht="23.25" hidden="false" customHeight="true" outlineLevel="0" collapsed="false">
      <c r="A10" s="13" t="s">
        <v>53</v>
      </c>
    </row>
    <row r="11" customFormat="false" ht="34.5" hidden="false" customHeight="true" outlineLevel="0" collapsed="false">
      <c r="A11" s="13" t="s">
        <v>54</v>
      </c>
    </row>
    <row r="12" customFormat="false" ht="15" hidden="false" customHeight="true" outlineLevel="0" collapsed="false">
      <c r="A12" s="13"/>
    </row>
    <row r="13" customFormat="false" ht="15" hidden="false" customHeight="true" outlineLevel="0" collapsed="false">
      <c r="A13" s="12" t="s">
        <v>55</v>
      </c>
    </row>
    <row r="14" customFormat="false" ht="23.25" hidden="false" customHeight="true" outlineLevel="0" collapsed="false">
      <c r="A14" s="13" t="s">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2026-06-25T00:11:20Z</dcterms:created>
  <dc:creator>openpyxl</dc:creator>
  <dc:description/>
  <dc:language>en-US</dc:language>
  <cp:lastModifiedBy/>
  <dcterms:modified xsi:type="dcterms:W3CDTF">2026-06-25T00:11:36Z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